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 all" sheetId="2" r:id="rId1"/>
    <sheet name="AVERAG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<sst xmlns="http://schemas.openxmlformats.org/spreadsheetml/2006/main" count="716" uniqueCount="136">
  <si>
    <t>GI</t>
  </si>
  <si>
    <t>C/N</t>
  </si>
  <si>
    <t>Nitrate nitrogen
(g/kg)</t>
  </si>
  <si>
    <t>Ammoniacal nitrogen
(g/kg)</t>
  </si>
  <si>
    <t>IMS</t>
  </si>
  <si>
    <t>GI
Weight</t>
  </si>
  <si>
    <t>C/N
Weight</t>
  </si>
  <si>
    <t>Nitrate nitrogen
Weight</t>
  </si>
  <si>
    <t>Ammoniacal nitrogen
Weight</t>
  </si>
  <si>
    <t>GI
Upper and Lower Limits</t>
  </si>
  <si>
    <t>C/N
Upper and Lower Limits</t>
  </si>
  <si>
    <t>Nitrate nitrogen
Upper and Lower Limits</t>
  </si>
  <si>
    <t>Ammoniacal nitrogen
Upper and Lower Limits</t>
  </si>
  <si>
    <t>GI
80th percentile</t>
  </si>
  <si>
    <t>C/N
80th percentile</t>
  </si>
  <si>
    <t>Nitrate nitrogen
80th percentile</t>
  </si>
  <si>
    <t>Ammoniacal nitrogen
80th percentile</t>
  </si>
  <si>
    <t>D1T1</t>
  </si>
  <si>
    <t>1-1</t>
  </si>
  <si>
    <t>D1T2</t>
  </si>
  <si>
    <t>1-4</t>
  </si>
  <si>
    <t>D1T3</t>
  </si>
  <si>
    <t>1-9</t>
  </si>
  <si>
    <t>D1T4</t>
  </si>
  <si>
    <t>1-13</t>
  </si>
  <si>
    <t>D1T5</t>
  </si>
  <si>
    <t>1-17</t>
  </si>
  <si>
    <t>D1T6</t>
  </si>
  <si>
    <t>1-24</t>
  </si>
  <si>
    <t>D1T7</t>
  </si>
  <si>
    <t>1-28</t>
  </si>
  <si>
    <t>D1CK</t>
  </si>
  <si>
    <t>1-36</t>
  </si>
  <si>
    <t>D4T1</t>
  </si>
  <si>
    <t>1-44</t>
  </si>
  <si>
    <t>D4T2</t>
  </si>
  <si>
    <t>2-1</t>
  </si>
  <si>
    <t>D4T3</t>
  </si>
  <si>
    <t>2-4</t>
  </si>
  <si>
    <t>D4T4</t>
  </si>
  <si>
    <t>2-9</t>
  </si>
  <si>
    <t>D4T5</t>
  </si>
  <si>
    <t>2-13</t>
  </si>
  <si>
    <t>D4T6</t>
  </si>
  <si>
    <t>2-17</t>
  </si>
  <si>
    <t>D4T7</t>
  </si>
  <si>
    <t>2-24</t>
  </si>
  <si>
    <t>D4CK</t>
  </si>
  <si>
    <t>2-28</t>
  </si>
  <si>
    <t>D9T1</t>
  </si>
  <si>
    <t>2-36</t>
  </si>
  <si>
    <t>D9T2</t>
  </si>
  <si>
    <t>2-44</t>
  </si>
  <si>
    <t>D9T3</t>
  </si>
  <si>
    <t>3-1</t>
  </si>
  <si>
    <t>D9T4</t>
  </si>
  <si>
    <t>3-4</t>
  </si>
  <si>
    <t>D9T5</t>
  </si>
  <si>
    <t>3-9</t>
  </si>
  <si>
    <t>D9T6</t>
  </si>
  <si>
    <t>3-13</t>
  </si>
  <si>
    <t>D9T7</t>
  </si>
  <si>
    <t>3-17</t>
  </si>
  <si>
    <t>D9CK</t>
  </si>
  <si>
    <t>3-24</t>
  </si>
  <si>
    <t>D13T1</t>
  </si>
  <si>
    <t>3-28</t>
  </si>
  <si>
    <t>D13T2</t>
  </si>
  <si>
    <t>3-36</t>
  </si>
  <si>
    <t>D13T3</t>
  </si>
  <si>
    <t>3-44</t>
  </si>
  <si>
    <t>D13T4</t>
  </si>
  <si>
    <t>4-1</t>
  </si>
  <si>
    <t>D13T5</t>
  </si>
  <si>
    <t>4-4</t>
  </si>
  <si>
    <t>D13T6</t>
  </si>
  <si>
    <t>4-9</t>
  </si>
  <si>
    <t>D13T7</t>
  </si>
  <si>
    <t>4-13</t>
  </si>
  <si>
    <t>D13CK</t>
  </si>
  <si>
    <t>4-17</t>
  </si>
  <si>
    <t>D21T1</t>
  </si>
  <si>
    <t>4-24</t>
  </si>
  <si>
    <t>D21T2</t>
  </si>
  <si>
    <t>4-28</t>
  </si>
  <si>
    <t>D21T3</t>
  </si>
  <si>
    <t>4-36</t>
  </si>
  <si>
    <t>D21T4</t>
  </si>
  <si>
    <t>4-44</t>
  </si>
  <si>
    <t>D21T5</t>
  </si>
  <si>
    <t>5-1</t>
  </si>
  <si>
    <t>D21T6</t>
  </si>
  <si>
    <t>5-4</t>
  </si>
  <si>
    <t>D21T7</t>
  </si>
  <si>
    <t>5-9</t>
  </si>
  <si>
    <t>D21CK</t>
  </si>
  <si>
    <t>5-13</t>
  </si>
  <si>
    <t>D30T1</t>
  </si>
  <si>
    <t>5-17</t>
  </si>
  <si>
    <t>D30T2</t>
  </si>
  <si>
    <t>5-24</t>
  </si>
  <si>
    <t>D30T3</t>
  </si>
  <si>
    <t>5-28</t>
  </si>
  <si>
    <t>D30T4</t>
  </si>
  <si>
    <t>5-36</t>
  </si>
  <si>
    <t>D30T5</t>
  </si>
  <si>
    <t>5-44</t>
  </si>
  <si>
    <t>D30T6</t>
  </si>
  <si>
    <t>6-1</t>
  </si>
  <si>
    <t>D30T7</t>
  </si>
  <si>
    <t>6-4</t>
  </si>
  <si>
    <t>D30CK</t>
  </si>
  <si>
    <t>6-9</t>
  </si>
  <si>
    <t>D39T1</t>
  </si>
  <si>
    <t>6-13</t>
  </si>
  <si>
    <t>D39T2</t>
  </si>
  <si>
    <t>6-17</t>
  </si>
  <si>
    <t>D39T3</t>
  </si>
  <si>
    <t>6-24</t>
  </si>
  <si>
    <t>D39T4</t>
  </si>
  <si>
    <t>6-28</t>
  </si>
  <si>
    <t>D39T5</t>
  </si>
  <si>
    <t>6-36</t>
  </si>
  <si>
    <t>D39T6</t>
  </si>
  <si>
    <t>6-44</t>
  </si>
  <si>
    <t>D39T7</t>
  </si>
  <si>
    <t>D39CK</t>
  </si>
  <si>
    <t>D45T1</t>
  </si>
  <si>
    <t>D45T2</t>
  </si>
  <si>
    <t>D45T3</t>
  </si>
  <si>
    <t>D45T4</t>
  </si>
  <si>
    <t>D45T5</t>
  </si>
  <si>
    <t>D45T6</t>
  </si>
  <si>
    <t>D45T7</t>
  </si>
  <si>
    <t>D45CK</t>
  </si>
  <si>
    <t>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</si>
</sst>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rgb="FFFF0000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/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/>
    <xf numFmtId="49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</font>
      <fill>
        <patternFill patternType="solid">
          <bgColor rgb="FFFF64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76"/>
  <sheetViews>
    <sheetView tabSelected="1" workbookViewId="0">
      <selection activeCell="C1" sqref="C1:F1"/>
    </sheetView>
  </sheetViews>
  <sheetFormatPr defaultColWidth="9" defaultRowHeight="14.25"/>
  <cols>
    <col min="1" max="6" width="9" style="4" customWidth="1"/>
    <col min="7" max="7" width="13.75" style="4" customWidth="1"/>
    <col min="8" max="13" width="9" style="4" customWidth="1"/>
    <col min="14" max="14" width="23" style="4" customWidth="1"/>
    <col min="15" max="15" width="21.25" style="4" customWidth="1"/>
    <col min="16" max="17" width="23.5" style="4" customWidth="1"/>
    <col min="18" max="20" width="9" style="4" customWidth="1"/>
    <col min="21" max="21" width="17.25" style="4" customWidth="1"/>
    <col min="22" max="22" width="19.75" style="4" customWidth="1"/>
    <col min="23" max="23" width="9" style="4" customWidth="1"/>
    <col min="24" max="27" width="13.75" style="4" customWidth="1"/>
    <col min="28" max="16384" width="9" style="4" customWidth="1"/>
  </cols>
  <sheetData>
    <row r="1" s="3" customFormat="1" ht="99.75" customHeight="1" spans="1:27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</row>
    <row r="2" s="4" customFormat="1" ht="15" customHeight="1" spans="1:27">
      <c r="A2" s="6" t="s">
        <v>17</v>
      </c>
      <c r="B2" s="1">
        <v>1</v>
      </c>
      <c r="C2" s="1">
        <v>0.939</v>
      </c>
      <c r="D2" s="1">
        <v>19.224</v>
      </c>
      <c r="E2" s="1">
        <v>0.3184</v>
      </c>
      <c r="F2" s="1">
        <v>2.307</v>
      </c>
      <c r="G2" s="1">
        <f t="shared" ref="G2:G65" si="0">SUM(X2,Y2,Z2,AA2)</f>
        <v>-0.383324658706027</v>
      </c>
      <c r="H2" s="7"/>
      <c r="I2" s="7">
        <v>0.4762</v>
      </c>
      <c r="J2" s="7">
        <v>0.2888</v>
      </c>
      <c r="K2" s="7">
        <v>0.1759</v>
      </c>
      <c r="L2" s="7">
        <v>0.0591</v>
      </c>
      <c r="N2" s="4">
        <f>MAX(C2:C576)-MIN(C2:C576)</f>
        <v>0.6224</v>
      </c>
      <c r="O2" s="4">
        <f>MAX(D2:D576)-MIN(D2:D576)</f>
        <v>10.66</v>
      </c>
      <c r="P2" s="4">
        <f>MAX(E2:E576)-MIN(E2:E576)</f>
        <v>0.236</v>
      </c>
      <c r="Q2" s="4">
        <f>MAX(F2:F576)-MIN(F2:F576)</f>
        <v>1.429</v>
      </c>
      <c r="S2" s="4">
        <v>1.13522</v>
      </c>
      <c r="T2" s="4">
        <v>14.1448</v>
      </c>
      <c r="U2" s="4">
        <v>0.4123</v>
      </c>
      <c r="V2" s="4">
        <v>1.751</v>
      </c>
      <c r="W2" s="8" t="s">
        <v>18</v>
      </c>
      <c r="X2" s="4">
        <f t="shared" ref="X2:X65" si="1">(C2-S$2)/N$2*I$2</f>
        <v>-0.150128476863753</v>
      </c>
      <c r="Y2" s="4">
        <f t="shared" ref="Y2:Y65" si="2">(T$2-D2)/O$2*J$2</f>
        <v>-0.137605343339587</v>
      </c>
      <c r="Z2" s="4">
        <f>(E65-U$2)/P2*K$2</f>
        <v>-0.0725960169491525</v>
      </c>
      <c r="AA2" s="4">
        <f t="shared" ref="AA2:AA65" si="3">(V$2-F2)/Q$2*L$2</f>
        <v>-0.0229948215535339</v>
      </c>
    </row>
    <row r="3" s="4" customFormat="1" ht="15" customHeight="1" spans="1:27">
      <c r="A3" s="6" t="s">
        <v>17</v>
      </c>
      <c r="B3" s="1">
        <v>1</v>
      </c>
      <c r="C3" s="1">
        <v>0.8388</v>
      </c>
      <c r="D3" s="1">
        <v>19.016</v>
      </c>
      <c r="E3" s="1">
        <v>0.2926</v>
      </c>
      <c r="F3" s="1">
        <v>2.367</v>
      </c>
      <c r="G3" s="1">
        <f t="shared" si="0"/>
        <v>-0.461455397354956</v>
      </c>
      <c r="I3" s="7"/>
      <c r="J3" s="7"/>
      <c r="K3" s="7"/>
      <c r="L3" s="7"/>
      <c r="X3" s="4">
        <f t="shared" si="1"/>
        <v>-0.226791780205655</v>
      </c>
      <c r="Y3" s="4">
        <f t="shared" si="2"/>
        <v>-0.131970221388368</v>
      </c>
      <c r="Z3" s="4">
        <f>(E137-U$2)/P$2*K$2</f>
        <v>-0.0772171186440678</v>
      </c>
      <c r="AA3" s="4">
        <f t="shared" si="3"/>
        <v>-0.0254762771168649</v>
      </c>
    </row>
    <row r="4" s="4" customFormat="1" ht="15" customHeight="1" spans="1:27">
      <c r="A4" s="6" t="s">
        <v>17</v>
      </c>
      <c r="B4" s="1">
        <v>1</v>
      </c>
      <c r="C4" s="1">
        <v>0.8704</v>
      </c>
      <c r="D4" s="1">
        <v>18.392</v>
      </c>
      <c r="E4" s="1">
        <v>0.3099</v>
      </c>
      <c r="F4" s="1">
        <v>2.329</v>
      </c>
      <c r="G4" s="1">
        <f t="shared" si="0"/>
        <v>-0.393012464806969</v>
      </c>
      <c r="I4" s="7"/>
      <c r="J4" s="7"/>
      <c r="K4" s="7"/>
      <c r="L4" s="7"/>
      <c r="W4" s="8"/>
      <c r="X4" s="4">
        <f t="shared" si="1"/>
        <v>-0.202614530848329</v>
      </c>
      <c r="Y4" s="4">
        <f t="shared" si="2"/>
        <v>-0.115064855534709</v>
      </c>
      <c r="Z4" s="4">
        <f>(E209-U$2)/P$2*K$2</f>
        <v>-0.0514283898305085</v>
      </c>
      <c r="AA4" s="4">
        <f t="shared" si="3"/>
        <v>-0.023904688593422</v>
      </c>
    </row>
    <row r="5" s="4" customFormat="1" ht="15" customHeight="1" spans="1:27">
      <c r="A5" s="6" t="s">
        <v>17</v>
      </c>
      <c r="B5" s="1">
        <v>1</v>
      </c>
      <c r="C5" s="1">
        <v>0.9932</v>
      </c>
      <c r="D5" s="1">
        <v>18.419</v>
      </c>
      <c r="E5" s="1">
        <v>0.3158</v>
      </c>
      <c r="F5" s="1">
        <v>2.214</v>
      </c>
      <c r="G5" s="1">
        <f t="shared" si="0"/>
        <v>-0.283182306740412</v>
      </c>
      <c r="W5" s="8"/>
      <c r="X5" s="4">
        <f t="shared" si="1"/>
        <v>-0.108659903598972</v>
      </c>
      <c r="Y5" s="4">
        <f t="shared" si="2"/>
        <v>-0.115796337711069</v>
      </c>
      <c r="Z5" s="4">
        <f>(E281-U$2)/P$2*K$2</f>
        <v>-0.0395775</v>
      </c>
      <c r="AA5" s="4">
        <f t="shared" si="3"/>
        <v>-0.0191485654303709</v>
      </c>
    </row>
    <row r="6" s="4" customFormat="1" ht="15" customHeight="1" spans="1:27">
      <c r="A6" s="6" t="s">
        <v>17</v>
      </c>
      <c r="B6" s="1">
        <v>1</v>
      </c>
      <c r="C6" s="1">
        <v>0.8755</v>
      </c>
      <c r="D6" s="1">
        <v>18.501</v>
      </c>
      <c r="E6" s="1">
        <v>0.3273</v>
      </c>
      <c r="F6" s="1">
        <v>2.147</v>
      </c>
      <c r="G6" s="1">
        <f t="shared" si="0"/>
        <v>-0.329455828300379</v>
      </c>
      <c r="N6" s="9"/>
      <c r="O6" s="9"/>
      <c r="P6" s="9"/>
      <c r="W6" s="8"/>
      <c r="X6" s="4">
        <f t="shared" si="1"/>
        <v>-0.198712506426735</v>
      </c>
      <c r="Y6" s="4">
        <f t="shared" si="2"/>
        <v>-0.118017876172608</v>
      </c>
      <c r="Z6" s="4">
        <f>(E352-U$2)/P$2*K$2</f>
        <v>0.00365216101694916</v>
      </c>
      <c r="AA6" s="4">
        <f t="shared" si="3"/>
        <v>-0.0163776067179846</v>
      </c>
    </row>
    <row r="7" s="4" customFormat="1" ht="15" customHeight="1" spans="1:27">
      <c r="A7" s="6" t="s">
        <v>17</v>
      </c>
      <c r="B7" s="1">
        <v>1</v>
      </c>
      <c r="C7" s="1">
        <v>0.8856</v>
      </c>
      <c r="D7" s="1">
        <v>17.286</v>
      </c>
      <c r="E7" s="1">
        <v>0.3187</v>
      </c>
      <c r="F7" s="1">
        <v>2.174</v>
      </c>
      <c r="G7" s="1">
        <f t="shared" si="0"/>
        <v>-0.304611424773358</v>
      </c>
      <c r="P7" s="9"/>
      <c r="W7" s="8"/>
      <c r="X7" s="4">
        <f t="shared" si="1"/>
        <v>-0.190984967866324</v>
      </c>
      <c r="Y7" s="4">
        <f t="shared" si="2"/>
        <v>-0.0851011782363978</v>
      </c>
      <c r="Z7" s="4">
        <f>(E424-U$2)/P$2*K$2</f>
        <v>-0.0110310169491525</v>
      </c>
      <c r="AA7" s="4">
        <f t="shared" si="3"/>
        <v>-0.0174942617214836</v>
      </c>
    </row>
    <row r="8" s="4" customFormat="1" ht="15" customHeight="1" spans="1:27">
      <c r="A8" s="6" t="s">
        <v>17</v>
      </c>
      <c r="B8" s="1">
        <v>1</v>
      </c>
      <c r="C8" s="1">
        <v>0.8911</v>
      </c>
      <c r="D8" s="1">
        <v>17.317</v>
      </c>
      <c r="E8" s="1">
        <v>0.3021</v>
      </c>
      <c r="F8" s="1">
        <v>2.107</v>
      </c>
      <c r="G8" s="1">
        <f t="shared" si="0"/>
        <v>-0.307341784312769</v>
      </c>
      <c r="W8" s="8"/>
      <c r="X8" s="4">
        <f t="shared" si="1"/>
        <v>-0.186776902313625</v>
      </c>
      <c r="Y8" s="4">
        <f t="shared" si="2"/>
        <v>-0.0859410281425891</v>
      </c>
      <c r="Z8" s="4">
        <f>(E496-U$2)/P$2*K$2</f>
        <v>-0.0199005508474576</v>
      </c>
      <c r="AA8" s="4">
        <f t="shared" si="3"/>
        <v>-0.0147233030090973</v>
      </c>
    </row>
    <row r="9" s="4" customFormat="1" ht="15" customHeight="1" spans="1:27">
      <c r="A9" s="6" t="s">
        <v>17</v>
      </c>
      <c r="B9" s="1">
        <v>1</v>
      </c>
      <c r="C9" s="1">
        <v>0.9198</v>
      </c>
      <c r="D9" s="1">
        <v>19.051</v>
      </c>
      <c r="E9" s="1">
        <v>0.3163</v>
      </c>
      <c r="F9" s="1">
        <v>2.146</v>
      </c>
      <c r="G9" s="1">
        <f t="shared" si="0"/>
        <v>-0.35827174100138</v>
      </c>
      <c r="W9" s="8"/>
      <c r="X9" s="4">
        <f t="shared" si="1"/>
        <v>-0.164818451156812</v>
      </c>
      <c r="Y9" s="4">
        <f t="shared" si="2"/>
        <v>-0.13291843902439</v>
      </c>
      <c r="Z9" s="4">
        <f>(E568-U$2)/P$2*K$2</f>
        <v>-0.0441986016949153</v>
      </c>
      <c r="AA9" s="4">
        <f t="shared" si="3"/>
        <v>-0.0163362491252624</v>
      </c>
    </row>
    <row r="10" s="4" customFormat="1" ht="15" customHeight="1" spans="1:27">
      <c r="A10" s="6" t="s">
        <v>17</v>
      </c>
      <c r="B10" s="1">
        <v>1</v>
      </c>
      <c r="C10" s="1">
        <v>0.9326</v>
      </c>
      <c r="D10" s="1">
        <v>18.08</v>
      </c>
      <c r="E10" s="1">
        <v>0.3539</v>
      </c>
      <c r="F10" s="1">
        <v>2.169</v>
      </c>
      <c r="G10" s="1">
        <f t="shared" si="0"/>
        <v>-0.322452577937362</v>
      </c>
      <c r="W10" s="8"/>
      <c r="X10" s="4">
        <f t="shared" si="1"/>
        <v>-0.15502513496144</v>
      </c>
      <c r="Y10" s="4">
        <f t="shared" si="2"/>
        <v>-0.10661217260788</v>
      </c>
      <c r="Z10" s="4">
        <f>(E10-U$2)/P$2*K$2</f>
        <v>-0.0435277966101695</v>
      </c>
      <c r="AA10" s="4">
        <f t="shared" si="3"/>
        <v>-0.0172874737578726</v>
      </c>
    </row>
    <row r="11" s="4" customFormat="1" ht="15" customHeight="1" spans="1:27">
      <c r="A11" s="6" t="s">
        <v>19</v>
      </c>
      <c r="B11" s="1">
        <v>2</v>
      </c>
      <c r="C11" s="1">
        <v>0.83</v>
      </c>
      <c r="D11" s="1">
        <v>18.707</v>
      </c>
      <c r="E11" s="1">
        <v>0.3382</v>
      </c>
      <c r="F11" s="1">
        <v>2.358</v>
      </c>
      <c r="G11" s="1">
        <f t="shared" si="0"/>
        <v>-0.452214888639726</v>
      </c>
      <c r="H11" s="7"/>
      <c r="W11" s="8" t="s">
        <v>20</v>
      </c>
      <c r="X11" s="4">
        <f t="shared" si="1"/>
        <v>-0.233524685089974</v>
      </c>
      <c r="Y11" s="4">
        <f t="shared" si="2"/>
        <v>-0.123598814258912</v>
      </c>
      <c r="Z11" s="4">
        <f>(E2-U$2)/P$2*K$2</f>
        <v>-0.0699873305084746</v>
      </c>
      <c r="AA11" s="4">
        <f t="shared" si="3"/>
        <v>-0.0251040587823653</v>
      </c>
    </row>
    <row r="12" s="4" customFormat="1" ht="15" customHeight="1" spans="1:27">
      <c r="A12" s="6" t="s">
        <v>19</v>
      </c>
      <c r="B12" s="1">
        <v>2</v>
      </c>
      <c r="C12" s="1">
        <v>0.8353</v>
      </c>
      <c r="D12" s="1">
        <v>20.277</v>
      </c>
      <c r="E12" s="1">
        <v>0.3633</v>
      </c>
      <c r="F12" s="1">
        <v>2.597</v>
      </c>
      <c r="G12" s="1">
        <f t="shared" si="0"/>
        <v>-0.5180941083736</v>
      </c>
      <c r="X12" s="4">
        <f t="shared" si="1"/>
        <v>-0.229469640102828</v>
      </c>
      <c r="Y12" s="4">
        <f t="shared" si="2"/>
        <v>-0.166133148217636</v>
      </c>
      <c r="Z12" s="4">
        <f>(E74-U$2)/P$2*K$2</f>
        <v>-0.0875027966101695</v>
      </c>
      <c r="AA12" s="4">
        <f t="shared" si="3"/>
        <v>-0.0349885234429671</v>
      </c>
    </row>
    <row r="13" s="4" customFormat="1" ht="15" customHeight="1" spans="1:27">
      <c r="A13" s="6" t="s">
        <v>19</v>
      </c>
      <c r="B13" s="1">
        <v>2</v>
      </c>
      <c r="C13" s="1">
        <v>0.8066</v>
      </c>
      <c r="D13" s="1">
        <v>21.625</v>
      </c>
      <c r="E13" s="1">
        <v>0.3237</v>
      </c>
      <c r="F13" s="1">
        <v>2.639</v>
      </c>
      <c r="G13" s="1">
        <f t="shared" si="0"/>
        <v>-0.563253655920213</v>
      </c>
      <c r="W13" s="8"/>
      <c r="X13" s="4">
        <f t="shared" si="1"/>
        <v>-0.25142809125964</v>
      </c>
      <c r="Y13" s="4">
        <f t="shared" si="2"/>
        <v>-0.202653073170732</v>
      </c>
      <c r="Z13" s="4">
        <f>(E146-U$2)/P$2*K$2</f>
        <v>-0.0724469491525424</v>
      </c>
      <c r="AA13" s="4">
        <f t="shared" si="3"/>
        <v>-0.0367255423372988</v>
      </c>
    </row>
    <row r="14" s="4" customFormat="1" ht="15" customHeight="1" spans="1:27">
      <c r="A14" s="6" t="s">
        <v>19</v>
      </c>
      <c r="B14" s="1">
        <v>2</v>
      </c>
      <c r="C14" s="1">
        <v>0.782</v>
      </c>
      <c r="D14" s="1">
        <v>19.413</v>
      </c>
      <c r="E14" s="1">
        <v>0.3614</v>
      </c>
      <c r="F14" s="1">
        <v>2.561</v>
      </c>
      <c r="G14" s="1">
        <f t="shared" si="0"/>
        <v>-0.46041282848475</v>
      </c>
      <c r="W14" s="8"/>
      <c r="X14" s="4">
        <f t="shared" si="1"/>
        <v>-0.270249620822622</v>
      </c>
      <c r="Y14" s="4">
        <f t="shared" si="2"/>
        <v>-0.142725718574109</v>
      </c>
      <c r="Z14" s="4">
        <f>(E218-U$2)/P$2*K$2</f>
        <v>-0.0139378389830508</v>
      </c>
      <c r="AA14" s="4">
        <f t="shared" si="3"/>
        <v>-0.0334996501049685</v>
      </c>
    </row>
    <row r="15" s="4" customFormat="1" ht="15" customHeight="1" spans="1:27">
      <c r="A15" s="6" t="s">
        <v>19</v>
      </c>
      <c r="B15" s="1">
        <v>2</v>
      </c>
      <c r="C15" s="1">
        <v>0.7993</v>
      </c>
      <c r="D15" s="1">
        <v>21.177</v>
      </c>
      <c r="E15" s="1">
        <v>0.3156</v>
      </c>
      <c r="F15" s="1">
        <v>2.678</v>
      </c>
      <c r="G15" s="1">
        <f t="shared" si="0"/>
        <v>-0.492203099141353</v>
      </c>
      <c r="W15" s="8"/>
      <c r="X15" s="4">
        <f t="shared" si="1"/>
        <v>-0.257013341902314</v>
      </c>
      <c r="Y15" s="4">
        <f t="shared" si="2"/>
        <v>-0.190515887429644</v>
      </c>
      <c r="Z15" s="4">
        <f>(E290-U$2)/P$2*K$2</f>
        <v>-0.00633538135593221</v>
      </c>
      <c r="AA15" s="4">
        <f t="shared" si="3"/>
        <v>-0.038338488453464</v>
      </c>
    </row>
    <row r="16" s="4" customFormat="1" ht="15" customHeight="1" spans="1:27">
      <c r="A16" s="6" t="s">
        <v>19</v>
      </c>
      <c r="B16" s="1">
        <v>2</v>
      </c>
      <c r="C16" s="1">
        <v>0.8707</v>
      </c>
      <c r="D16" s="1">
        <v>19.206</v>
      </c>
      <c r="E16" s="1">
        <v>0.3744</v>
      </c>
      <c r="F16" s="1">
        <v>2.526</v>
      </c>
      <c r="G16" s="1">
        <f t="shared" si="0"/>
        <v>-0.402039187321819</v>
      </c>
      <c r="W16" s="8"/>
      <c r="X16" s="4">
        <f t="shared" si="1"/>
        <v>-0.202385</v>
      </c>
      <c r="Y16" s="4">
        <f t="shared" si="2"/>
        <v>-0.137117688555347</v>
      </c>
      <c r="Z16" s="4">
        <f>(E361-U$2)/P$2*K$2</f>
        <v>-0.0304843644067797</v>
      </c>
      <c r="AA16" s="4">
        <f t="shared" si="3"/>
        <v>-0.0320521343596921</v>
      </c>
    </row>
    <row r="17" s="4" customFormat="1" ht="15" customHeight="1" spans="1:27">
      <c r="A17" s="6" t="s">
        <v>19</v>
      </c>
      <c r="B17" s="1">
        <v>2</v>
      </c>
      <c r="C17" s="1">
        <v>0.8352</v>
      </c>
      <c r="D17" s="1">
        <v>18.974</v>
      </c>
      <c r="E17" s="1">
        <v>0.3186</v>
      </c>
      <c r="F17" s="1">
        <v>2.474</v>
      </c>
      <c r="G17" s="1">
        <f t="shared" si="0"/>
        <v>-0.366727338284476</v>
      </c>
      <c r="W17" s="8"/>
      <c r="X17" s="4">
        <f t="shared" si="1"/>
        <v>-0.229546150385604</v>
      </c>
      <c r="Y17" s="4">
        <f t="shared" si="2"/>
        <v>-0.130832360225141</v>
      </c>
      <c r="Z17" s="4">
        <f>(E433-U$2)/P$2*K$2</f>
        <v>0.0235527118644068</v>
      </c>
      <c r="AA17" s="4">
        <f t="shared" si="3"/>
        <v>-0.0299015395381386</v>
      </c>
    </row>
    <row r="18" s="4" customFormat="1" ht="15" customHeight="1" spans="1:27">
      <c r="A18" s="6" t="s">
        <v>19</v>
      </c>
      <c r="B18" s="1">
        <v>2</v>
      </c>
      <c r="C18" s="1">
        <v>0.8511</v>
      </c>
      <c r="D18" s="1">
        <v>22.152</v>
      </c>
      <c r="E18" s="1">
        <v>0.3115</v>
      </c>
      <c r="F18" s="1">
        <v>2.668</v>
      </c>
      <c r="G18" s="1">
        <f t="shared" si="0"/>
        <v>-0.446745856306053</v>
      </c>
      <c r="W18" s="8"/>
      <c r="X18" s="4">
        <f t="shared" si="1"/>
        <v>-0.217381015424164</v>
      </c>
      <c r="Y18" s="4">
        <f t="shared" si="2"/>
        <v>-0.216930521575985</v>
      </c>
      <c r="Z18" s="4">
        <f>(E505-U$2)/P$2*K$2</f>
        <v>0.025490593220339</v>
      </c>
      <c r="AA18" s="4">
        <f t="shared" si="3"/>
        <v>-0.0379249125262421</v>
      </c>
    </row>
    <row r="19" s="4" customFormat="1" ht="15" customHeight="1" spans="1:27">
      <c r="A19" s="6" t="s">
        <v>19</v>
      </c>
      <c r="B19" s="1">
        <v>2</v>
      </c>
      <c r="C19" s="1">
        <v>0.8006</v>
      </c>
      <c r="D19" s="1">
        <v>21.054</v>
      </c>
      <c r="E19" s="1">
        <v>0.3195</v>
      </c>
      <c r="F19" s="1">
        <v>2.527</v>
      </c>
      <c r="G19" s="1">
        <f t="shared" si="0"/>
        <v>-0.54446323754309</v>
      </c>
      <c r="W19" s="8"/>
      <c r="X19" s="4">
        <f t="shared" si="1"/>
        <v>-0.256018708226221</v>
      </c>
      <c r="Y19" s="4">
        <f t="shared" si="2"/>
        <v>-0.187183579737336</v>
      </c>
      <c r="Z19" s="4">
        <f t="shared" ref="Z19:Z82" si="4">(E19-U$2)/P$2*K$2</f>
        <v>-0.0691674576271187</v>
      </c>
      <c r="AA19" s="4">
        <f t="shared" si="3"/>
        <v>-0.0320934919524143</v>
      </c>
    </row>
    <row r="20" s="4" customFormat="1" ht="15" customHeight="1" spans="1:27">
      <c r="A20" s="6" t="s">
        <v>21</v>
      </c>
      <c r="B20" s="1">
        <v>3</v>
      </c>
      <c r="C20" s="1">
        <v>0.908</v>
      </c>
      <c r="D20" s="1">
        <v>19.087</v>
      </c>
      <c r="E20" s="1">
        <v>0.349</v>
      </c>
      <c r="F20" s="1">
        <v>2.442</v>
      </c>
      <c r="G20" s="1">
        <f t="shared" si="0"/>
        <v>-0.383498467315439</v>
      </c>
      <c r="H20" s="7"/>
      <c r="W20" s="8" t="s">
        <v>22</v>
      </c>
      <c r="X20" s="4">
        <f t="shared" si="1"/>
        <v>-0.173846664524421</v>
      </c>
      <c r="Y20" s="4">
        <f t="shared" si="2"/>
        <v>-0.133893748592871</v>
      </c>
      <c r="Z20" s="4">
        <f t="shared" si="4"/>
        <v>-0.0471799576271187</v>
      </c>
      <c r="AA20" s="4">
        <f t="shared" si="3"/>
        <v>-0.0285780965710287</v>
      </c>
    </row>
    <row r="21" s="4" customFormat="1" ht="15" customHeight="1" spans="1:27">
      <c r="A21" s="6" t="s">
        <v>21</v>
      </c>
      <c r="B21" s="1">
        <v>3</v>
      </c>
      <c r="C21" s="1">
        <v>0.8361</v>
      </c>
      <c r="D21" s="1">
        <v>20.689</v>
      </c>
      <c r="E21" s="1">
        <v>0.3157</v>
      </c>
      <c r="F21" s="1">
        <v>2.45</v>
      </c>
      <c r="G21" s="1">
        <f t="shared" si="0"/>
        <v>-0.507061285306379</v>
      </c>
      <c r="X21" s="4">
        <f t="shared" si="1"/>
        <v>-0.228857557840617</v>
      </c>
      <c r="Y21" s="4">
        <f t="shared" si="2"/>
        <v>-0.177295024390244</v>
      </c>
      <c r="Z21" s="4">
        <f t="shared" si="4"/>
        <v>-0.0719997457627119</v>
      </c>
      <c r="AA21" s="4">
        <f t="shared" si="3"/>
        <v>-0.0289089573128062</v>
      </c>
    </row>
    <row r="22" s="4" customFormat="1" ht="15" customHeight="1" spans="1:27">
      <c r="A22" s="6" t="s">
        <v>21</v>
      </c>
      <c r="B22" s="1">
        <v>3</v>
      </c>
      <c r="C22" s="1">
        <v>0.8907</v>
      </c>
      <c r="D22" s="1">
        <v>20.162</v>
      </c>
      <c r="E22" s="1">
        <v>0.3102</v>
      </c>
      <c r="F22" s="1">
        <v>2.509</v>
      </c>
      <c r="G22" s="1">
        <f t="shared" si="0"/>
        <v>-0.457548684882627</v>
      </c>
      <c r="W22" s="8"/>
      <c r="X22" s="4">
        <f t="shared" si="1"/>
        <v>-0.18708294344473</v>
      </c>
      <c r="Y22" s="4">
        <f t="shared" si="2"/>
        <v>-0.163017575984991</v>
      </c>
      <c r="Z22" s="4">
        <f t="shared" si="4"/>
        <v>-0.0760991101694916</v>
      </c>
      <c r="AA22" s="4">
        <f t="shared" si="3"/>
        <v>-0.031349055283415</v>
      </c>
    </row>
    <row r="23" s="4" customFormat="1" ht="15" customHeight="1" spans="1:27">
      <c r="A23" s="6" t="s">
        <v>21</v>
      </c>
      <c r="B23" s="1">
        <v>3</v>
      </c>
      <c r="C23" s="1">
        <v>0.8303</v>
      </c>
      <c r="D23" s="1">
        <v>17.788</v>
      </c>
      <c r="E23" s="1">
        <v>0.3328</v>
      </c>
      <c r="F23" s="1">
        <v>2.2</v>
      </c>
      <c r="G23" s="1">
        <f t="shared" si="0"/>
        <v>-0.409820490856654</v>
      </c>
      <c r="W23" s="8"/>
      <c r="X23" s="4">
        <f t="shared" si="1"/>
        <v>-0.233295154241645</v>
      </c>
      <c r="Y23" s="4">
        <f t="shared" si="2"/>
        <v>-0.0987013283302064</v>
      </c>
      <c r="Z23" s="4">
        <f t="shared" si="4"/>
        <v>-0.0592544491525424</v>
      </c>
      <c r="AA23" s="4">
        <f t="shared" si="3"/>
        <v>-0.0185695591322603</v>
      </c>
    </row>
    <row r="24" s="4" customFormat="1" ht="15" customHeight="1" spans="1:27">
      <c r="A24" s="6" t="s">
        <v>21</v>
      </c>
      <c r="B24" s="1">
        <v>3</v>
      </c>
      <c r="C24" s="1">
        <v>0.8091</v>
      </c>
      <c r="D24" s="1">
        <v>20.153</v>
      </c>
      <c r="E24" s="1">
        <v>0.3572</v>
      </c>
      <c r="F24" s="1">
        <v>2.696</v>
      </c>
      <c r="G24" s="1">
        <f t="shared" si="0"/>
        <v>-0.492440185871667</v>
      </c>
      <c r="W24" s="8"/>
      <c r="X24" s="4">
        <f t="shared" si="1"/>
        <v>-0.249515334190231</v>
      </c>
      <c r="Y24" s="4">
        <f t="shared" si="2"/>
        <v>-0.16277374859287</v>
      </c>
      <c r="Z24" s="4">
        <f t="shared" si="4"/>
        <v>-0.0410681779661017</v>
      </c>
      <c r="AA24" s="4">
        <f t="shared" si="3"/>
        <v>-0.0390829251224633</v>
      </c>
    </row>
    <row r="25" s="4" customFormat="1" ht="15" customHeight="1" spans="1:27">
      <c r="A25" s="6" t="s">
        <v>21</v>
      </c>
      <c r="B25" s="1">
        <v>3</v>
      </c>
      <c r="C25" s="1">
        <v>0.8107</v>
      </c>
      <c r="D25" s="1">
        <v>19.847</v>
      </c>
      <c r="E25" s="1">
        <v>0.29</v>
      </c>
      <c r="F25" s="1">
        <v>2.399</v>
      </c>
      <c r="G25" s="1">
        <f t="shared" si="0"/>
        <v>-0.520729464637691</v>
      </c>
      <c r="W25" s="8"/>
      <c r="X25" s="4">
        <f t="shared" si="1"/>
        <v>-0.24829116966581</v>
      </c>
      <c r="Y25" s="4">
        <f t="shared" si="2"/>
        <v>-0.154483617260788</v>
      </c>
      <c r="Z25" s="4">
        <f t="shared" si="4"/>
        <v>-0.0911549576271187</v>
      </c>
      <c r="AA25" s="4">
        <f t="shared" si="3"/>
        <v>-0.0267997200839748</v>
      </c>
    </row>
    <row r="26" s="4" customFormat="1" ht="15" customHeight="1" spans="1:27">
      <c r="A26" s="6" t="s">
        <v>21</v>
      </c>
      <c r="B26" s="1">
        <v>3</v>
      </c>
      <c r="C26" s="1">
        <v>0.8884</v>
      </c>
      <c r="D26" s="1">
        <v>20.694</v>
      </c>
      <c r="E26" s="1">
        <v>0.3088</v>
      </c>
      <c r="F26" s="1">
        <v>2.58</v>
      </c>
      <c r="G26" s="1">
        <f t="shared" si="0"/>
        <v>-0.477701193113572</v>
      </c>
      <c r="W26" s="8"/>
      <c r="X26" s="4">
        <f t="shared" si="1"/>
        <v>-0.188842679948586</v>
      </c>
      <c r="Y26" s="4">
        <f t="shared" si="2"/>
        <v>-0.177430484052533</v>
      </c>
      <c r="Z26" s="4">
        <f t="shared" si="4"/>
        <v>-0.0771425847457627</v>
      </c>
      <c r="AA26" s="4">
        <f t="shared" si="3"/>
        <v>-0.03428544436669</v>
      </c>
    </row>
    <row r="27" s="4" customFormat="1" ht="15" customHeight="1" spans="1:27">
      <c r="A27" s="6" t="s">
        <v>21</v>
      </c>
      <c r="B27" s="1">
        <v>3</v>
      </c>
      <c r="C27" s="1">
        <v>0.8833</v>
      </c>
      <c r="D27" s="1">
        <v>20.628</v>
      </c>
      <c r="E27" s="1">
        <v>0.3137</v>
      </c>
      <c r="F27" s="10">
        <v>2.649</v>
      </c>
      <c r="G27" s="1">
        <f t="shared" si="0"/>
        <v>-0.479016662873833</v>
      </c>
      <c r="W27" s="8"/>
      <c r="X27" s="4">
        <f t="shared" si="1"/>
        <v>-0.19274470437018</v>
      </c>
      <c r="Y27" s="4">
        <f t="shared" si="2"/>
        <v>-0.175642416510319</v>
      </c>
      <c r="Z27" s="4">
        <f t="shared" si="4"/>
        <v>-0.0734904237288136</v>
      </c>
      <c r="AA27" s="4">
        <f t="shared" si="3"/>
        <v>-0.0371391182645206</v>
      </c>
    </row>
    <row r="28" s="4" customFormat="1" ht="15" customHeight="1" spans="1:27">
      <c r="A28" s="6" t="s">
        <v>21</v>
      </c>
      <c r="B28" s="1">
        <v>3</v>
      </c>
      <c r="C28" s="1">
        <v>0.845</v>
      </c>
      <c r="D28" s="1">
        <v>20.918</v>
      </c>
      <c r="E28" s="1">
        <v>0.3312</v>
      </c>
      <c r="F28" s="1">
        <v>2.485</v>
      </c>
      <c r="G28" s="1">
        <f t="shared" si="0"/>
        <v>-0.496350684180105</v>
      </c>
      <c r="W28" s="8"/>
      <c r="X28" s="4">
        <f t="shared" si="1"/>
        <v>-0.222048142673522</v>
      </c>
      <c r="Y28" s="4">
        <f t="shared" si="2"/>
        <v>-0.183499076923077</v>
      </c>
      <c r="Z28" s="4">
        <f t="shared" si="4"/>
        <v>-0.0604469915254237</v>
      </c>
      <c r="AA28" s="4">
        <f t="shared" si="3"/>
        <v>-0.0303564730580826</v>
      </c>
    </row>
    <row r="29" s="4" customFormat="1" ht="15" customHeight="1" spans="1:27">
      <c r="A29" s="6" t="s">
        <v>23</v>
      </c>
      <c r="B29" s="1">
        <v>4</v>
      </c>
      <c r="C29" s="1">
        <v>1.02</v>
      </c>
      <c r="D29" s="1">
        <v>14.701</v>
      </c>
      <c r="E29" s="1">
        <v>0.3348</v>
      </c>
      <c r="F29" s="1">
        <v>1.872</v>
      </c>
      <c r="G29" s="1">
        <f t="shared" si="0"/>
        <v>-0.165991720553755</v>
      </c>
      <c r="H29" s="7"/>
      <c r="W29" s="8" t="s">
        <v>24</v>
      </c>
      <c r="X29" s="4">
        <f t="shared" si="1"/>
        <v>-0.0881551478149099</v>
      </c>
      <c r="Y29" s="4">
        <f t="shared" si="2"/>
        <v>-0.0150685328330207</v>
      </c>
      <c r="Z29" s="4">
        <f t="shared" si="4"/>
        <v>-0.0577637711864407</v>
      </c>
      <c r="AA29" s="4">
        <f t="shared" si="3"/>
        <v>-0.00500426871938419</v>
      </c>
    </row>
    <row r="30" s="4" customFormat="1" ht="15" customHeight="1" spans="1:27">
      <c r="A30" s="6" t="s">
        <v>23</v>
      </c>
      <c r="B30" s="1">
        <v>4</v>
      </c>
      <c r="C30" s="1">
        <v>0.9664</v>
      </c>
      <c r="D30" s="1">
        <v>16.283</v>
      </c>
      <c r="E30" s="1">
        <v>0.3591</v>
      </c>
      <c r="F30" s="1">
        <v>2.053</v>
      </c>
      <c r="G30" s="1">
        <f t="shared" si="0"/>
        <v>-0.239234656264676</v>
      </c>
      <c r="X30" s="4">
        <f t="shared" si="1"/>
        <v>-0.129164659383033</v>
      </c>
      <c r="Y30" s="4">
        <f t="shared" si="2"/>
        <v>-0.0579279699812383</v>
      </c>
      <c r="Z30" s="4">
        <f t="shared" si="4"/>
        <v>-0.0396520338983051</v>
      </c>
      <c r="AA30" s="4">
        <f t="shared" si="3"/>
        <v>-0.0124899930020994</v>
      </c>
    </row>
    <row r="31" s="4" customFormat="1" ht="15" customHeight="1" spans="1:27">
      <c r="A31" s="6" t="s">
        <v>23</v>
      </c>
      <c r="B31" s="1">
        <v>4</v>
      </c>
      <c r="C31" s="1">
        <v>0.9415</v>
      </c>
      <c r="D31" s="1">
        <v>17.372</v>
      </c>
      <c r="E31" s="1">
        <v>0.3089</v>
      </c>
      <c r="F31" s="1">
        <v>2.13</v>
      </c>
      <c r="G31" s="1">
        <f t="shared" si="0"/>
        <v>-0.328389382711277</v>
      </c>
      <c r="W31" s="8"/>
      <c r="X31" s="4">
        <f t="shared" si="1"/>
        <v>-0.148215719794344</v>
      </c>
      <c r="Y31" s="4">
        <f t="shared" si="2"/>
        <v>-0.0874310844277674</v>
      </c>
      <c r="Z31" s="4">
        <f t="shared" si="4"/>
        <v>-0.0770680508474576</v>
      </c>
      <c r="AA31" s="4">
        <f t="shared" si="3"/>
        <v>-0.0156745276417075</v>
      </c>
    </row>
    <row r="32" s="4" customFormat="1" ht="15" customHeight="1" spans="1:27">
      <c r="A32" s="6" t="s">
        <v>23</v>
      </c>
      <c r="B32" s="1">
        <v>4</v>
      </c>
      <c r="C32" s="1">
        <v>0.9518</v>
      </c>
      <c r="D32" s="1">
        <v>16.522</v>
      </c>
      <c r="E32" s="1">
        <v>0.3376</v>
      </c>
      <c r="F32" s="1">
        <v>2.194</v>
      </c>
      <c r="G32" s="1">
        <f t="shared" si="0"/>
        <v>-0.278736338116855</v>
      </c>
      <c r="W32" s="8"/>
      <c r="X32" s="4">
        <f t="shared" si="1"/>
        <v>-0.14033516066838</v>
      </c>
      <c r="Y32" s="4">
        <f t="shared" si="2"/>
        <v>-0.0644029418386491</v>
      </c>
      <c r="Z32" s="4">
        <f t="shared" si="4"/>
        <v>-0.0556768220338983</v>
      </c>
      <c r="AA32" s="4">
        <f t="shared" si="3"/>
        <v>-0.0183214135759272</v>
      </c>
    </row>
    <row r="33" s="4" customFormat="1" ht="15" customHeight="1" spans="1:27">
      <c r="A33" s="6" t="s">
        <v>23</v>
      </c>
      <c r="B33" s="1">
        <v>4</v>
      </c>
      <c r="C33" s="1">
        <v>0.9334</v>
      </c>
      <c r="D33" s="1">
        <v>17.184</v>
      </c>
      <c r="E33" s="1">
        <v>0.3075</v>
      </c>
      <c r="F33" s="1">
        <v>2.157</v>
      </c>
      <c r="G33" s="1">
        <f t="shared" si="0"/>
        <v>-0.331653561893868</v>
      </c>
      <c r="W33" s="8"/>
      <c r="X33" s="4">
        <f t="shared" si="1"/>
        <v>-0.154413052699229</v>
      </c>
      <c r="Y33" s="4">
        <f t="shared" si="2"/>
        <v>-0.0823378011257036</v>
      </c>
      <c r="Z33" s="4">
        <f t="shared" si="4"/>
        <v>-0.0781115254237288</v>
      </c>
      <c r="AA33" s="4">
        <f t="shared" si="3"/>
        <v>-0.0167911826452064</v>
      </c>
    </row>
    <row r="34" s="4" customFormat="1" ht="15" customHeight="1" spans="1:27">
      <c r="A34" s="6" t="s">
        <v>23</v>
      </c>
      <c r="B34" s="1">
        <v>4</v>
      </c>
      <c r="C34" s="1">
        <v>0.9189</v>
      </c>
      <c r="D34" s="1">
        <v>16.286</v>
      </c>
      <c r="E34" s="1">
        <v>0.3042</v>
      </c>
      <c r="F34" s="1">
        <v>2.148</v>
      </c>
      <c r="G34" s="1">
        <f t="shared" si="0"/>
        <v>-0.320506397858914</v>
      </c>
      <c r="W34" s="8"/>
      <c r="X34" s="4">
        <f t="shared" si="1"/>
        <v>-0.165507043701799</v>
      </c>
      <c r="Y34" s="4">
        <f t="shared" si="2"/>
        <v>-0.0580092457786117</v>
      </c>
      <c r="Z34" s="4">
        <f t="shared" si="4"/>
        <v>-0.0805711440677966</v>
      </c>
      <c r="AA34" s="4">
        <f t="shared" si="3"/>
        <v>-0.0164189643107068</v>
      </c>
    </row>
    <row r="35" s="4" customFormat="1" ht="15" customHeight="1" spans="1:27">
      <c r="A35" s="6" t="s">
        <v>23</v>
      </c>
      <c r="B35" s="1">
        <v>4</v>
      </c>
      <c r="C35" s="1">
        <v>0.9019</v>
      </c>
      <c r="D35" s="1">
        <v>16.495</v>
      </c>
      <c r="E35" s="1">
        <v>0.3021</v>
      </c>
      <c r="F35" s="1">
        <v>1.969</v>
      </c>
      <c r="G35" s="1">
        <f t="shared" si="0"/>
        <v>-0.333337562581707</v>
      </c>
      <c r="W35" s="8"/>
      <c r="X35" s="4">
        <f t="shared" si="1"/>
        <v>-0.178513791773779</v>
      </c>
      <c r="Y35" s="4">
        <f t="shared" si="2"/>
        <v>-0.063671459662289</v>
      </c>
      <c r="Z35" s="4">
        <f t="shared" si="4"/>
        <v>-0.0821363559322034</v>
      </c>
      <c r="AA35" s="4">
        <f t="shared" si="3"/>
        <v>-0.00901595521343598</v>
      </c>
    </row>
    <row r="36" s="4" customFormat="1" ht="15" customHeight="1" spans="1:27">
      <c r="A36" s="6" t="s">
        <v>23</v>
      </c>
      <c r="B36" s="1">
        <v>4</v>
      </c>
      <c r="C36" s="1">
        <v>0.9689</v>
      </c>
      <c r="D36" s="1">
        <v>18.033</v>
      </c>
      <c r="E36" s="1">
        <v>0.3285</v>
      </c>
      <c r="F36" s="1">
        <v>2.165</v>
      </c>
      <c r="G36" s="1">
        <f t="shared" si="0"/>
        <v>-0.312172204262634</v>
      </c>
      <c r="W36" s="8"/>
      <c r="X36" s="4">
        <f t="shared" si="1"/>
        <v>-0.127251902313625</v>
      </c>
      <c r="Y36" s="4">
        <f t="shared" si="2"/>
        <v>-0.105338851782364</v>
      </c>
      <c r="Z36" s="4">
        <f t="shared" si="4"/>
        <v>-0.062459406779661</v>
      </c>
      <c r="AA36" s="4">
        <f t="shared" si="3"/>
        <v>-0.0171220433869839</v>
      </c>
    </row>
    <row r="37" s="4" customFormat="1" ht="15" customHeight="1" spans="1:27">
      <c r="A37" s="6" t="s">
        <v>23</v>
      </c>
      <c r="B37" s="1">
        <v>4</v>
      </c>
      <c r="C37" s="1">
        <v>0.9136</v>
      </c>
      <c r="D37" s="1">
        <v>16.94</v>
      </c>
      <c r="E37" s="1">
        <v>0.335</v>
      </c>
      <c r="F37" s="1">
        <v>2.198</v>
      </c>
      <c r="G37" s="1">
        <f t="shared" si="0"/>
        <v>-0.321391005631596</v>
      </c>
      <c r="W37" s="8"/>
      <c r="X37" s="4">
        <f t="shared" si="1"/>
        <v>-0.169562088688946</v>
      </c>
      <c r="Y37" s="4">
        <f t="shared" si="2"/>
        <v>-0.0757273696060038</v>
      </c>
      <c r="Z37" s="4">
        <f t="shared" si="4"/>
        <v>-0.0576147033898305</v>
      </c>
      <c r="AA37" s="4">
        <f t="shared" si="3"/>
        <v>-0.018486843946816</v>
      </c>
    </row>
    <row r="38" s="4" customFormat="1" ht="15" customHeight="1" spans="1:27">
      <c r="A38" s="6" t="s">
        <v>25</v>
      </c>
      <c r="B38" s="1">
        <v>5</v>
      </c>
      <c r="C38" s="1">
        <v>1.0758</v>
      </c>
      <c r="D38" s="1">
        <v>18.087</v>
      </c>
      <c r="E38" s="1">
        <v>0.3979</v>
      </c>
      <c r="F38" s="1">
        <v>2.375</v>
      </c>
      <c r="G38" s="1">
        <f t="shared" si="0"/>
        <v>-0.188804245375366</v>
      </c>
      <c r="H38" s="7"/>
      <c r="W38" s="8" t="s">
        <v>26</v>
      </c>
      <c r="X38" s="4">
        <f t="shared" si="1"/>
        <v>-0.0454624100257068</v>
      </c>
      <c r="Y38" s="4">
        <f t="shared" si="2"/>
        <v>-0.106801816135084</v>
      </c>
      <c r="Z38" s="4">
        <f t="shared" si="4"/>
        <v>-0.0107328813559322</v>
      </c>
      <c r="AA38" s="4">
        <f t="shared" si="3"/>
        <v>-0.0258071378586424</v>
      </c>
    </row>
    <row r="39" s="4" customFormat="1" ht="15" customHeight="1" spans="1:27">
      <c r="A39" s="6" t="s">
        <v>25</v>
      </c>
      <c r="B39" s="1">
        <v>5</v>
      </c>
      <c r="C39" s="1">
        <v>1.0374</v>
      </c>
      <c r="D39" s="1">
        <v>19.573</v>
      </c>
      <c r="E39" s="1">
        <v>0.3338</v>
      </c>
      <c r="F39" s="1">
        <v>2.31</v>
      </c>
      <c r="G39" s="1">
        <f t="shared" si="0"/>
        <v>-0.303530790880372</v>
      </c>
      <c r="X39" s="4">
        <f t="shared" si="1"/>
        <v>-0.074842358611825</v>
      </c>
      <c r="Y39" s="4">
        <f t="shared" si="2"/>
        <v>-0.147060427767355</v>
      </c>
      <c r="Z39" s="4">
        <f t="shared" si="4"/>
        <v>-0.0585091101694915</v>
      </c>
      <c r="AA39" s="4">
        <f t="shared" si="3"/>
        <v>-0.0231188943317005</v>
      </c>
    </row>
    <row r="40" s="4" customFormat="1" ht="15" customHeight="1" spans="1:27">
      <c r="A40" s="6" t="s">
        <v>25</v>
      </c>
      <c r="B40" s="1">
        <v>5</v>
      </c>
      <c r="C40" s="1">
        <v>1.0943</v>
      </c>
      <c r="D40" s="1">
        <v>17.602</v>
      </c>
      <c r="E40" s="1">
        <v>0.3297</v>
      </c>
      <c r="F40" s="1">
        <v>2.195</v>
      </c>
      <c r="G40" s="1">
        <f t="shared" si="0"/>
        <v>-0.20489800777379</v>
      </c>
      <c r="W40" s="8"/>
      <c r="X40" s="4">
        <f t="shared" si="1"/>
        <v>-0.0313080077120821</v>
      </c>
      <c r="Y40" s="4">
        <f t="shared" si="2"/>
        <v>-0.0936622288930582</v>
      </c>
      <c r="Z40" s="4">
        <f t="shared" si="4"/>
        <v>-0.061565</v>
      </c>
      <c r="AA40" s="4">
        <f t="shared" si="3"/>
        <v>-0.0183627711686494</v>
      </c>
    </row>
    <row r="41" s="4" customFormat="1" ht="15" customHeight="1" spans="1:27">
      <c r="A41" s="6" t="s">
        <v>25</v>
      </c>
      <c r="B41" s="1">
        <v>5</v>
      </c>
      <c r="C41" s="1">
        <v>1.1354</v>
      </c>
      <c r="D41" s="1">
        <v>18.431</v>
      </c>
      <c r="E41" s="1">
        <v>0.3399</v>
      </c>
      <c r="F41" s="1">
        <v>2.171</v>
      </c>
      <c r="G41" s="1">
        <f t="shared" si="0"/>
        <v>-0.187316453707764</v>
      </c>
      <c r="W41" s="8"/>
      <c r="X41" s="4">
        <f t="shared" si="1"/>
        <v>0.000137718508997482</v>
      </c>
      <c r="Y41" s="4">
        <f t="shared" si="2"/>
        <v>-0.116121440900563</v>
      </c>
      <c r="Z41" s="4">
        <f t="shared" si="4"/>
        <v>-0.0539625423728814</v>
      </c>
      <c r="AA41" s="4">
        <f t="shared" si="3"/>
        <v>-0.017370188943317</v>
      </c>
    </row>
    <row r="42" s="4" customFormat="1" ht="15" customHeight="1" spans="1:27">
      <c r="A42" s="6" t="s">
        <v>25</v>
      </c>
      <c r="B42" s="1">
        <v>5</v>
      </c>
      <c r="C42" s="1">
        <v>1.1158</v>
      </c>
      <c r="D42" s="1">
        <v>17.838</v>
      </c>
      <c r="E42" s="1">
        <v>0.3548</v>
      </c>
      <c r="F42" s="1">
        <v>2.296</v>
      </c>
      <c r="G42" s="1">
        <f t="shared" si="0"/>
        <v>-0.180311101427276</v>
      </c>
      <c r="W42" s="8"/>
      <c r="X42" s="4">
        <f t="shared" si="1"/>
        <v>-0.0148582969151671</v>
      </c>
      <c r="Y42" s="4">
        <f t="shared" si="2"/>
        <v>-0.100055924953096</v>
      </c>
      <c r="Z42" s="4">
        <f t="shared" si="4"/>
        <v>-0.0428569915254237</v>
      </c>
      <c r="AA42" s="4">
        <f t="shared" si="3"/>
        <v>-0.0225398880335899</v>
      </c>
    </row>
    <row r="43" s="4" customFormat="1" ht="15" customHeight="1" spans="1:27">
      <c r="A43" s="6" t="s">
        <v>25</v>
      </c>
      <c r="B43" s="1">
        <v>5</v>
      </c>
      <c r="C43" s="1">
        <v>1.2385</v>
      </c>
      <c r="D43" s="1">
        <v>18.154</v>
      </c>
      <c r="E43" s="1">
        <v>0.4249</v>
      </c>
      <c r="F43" s="1">
        <v>2.272</v>
      </c>
      <c r="G43" s="1">
        <f t="shared" si="0"/>
        <v>-0.041753190180159</v>
      </c>
      <c r="W43" s="8"/>
      <c r="X43" s="4">
        <f t="shared" si="1"/>
        <v>0.0790198200514139</v>
      </c>
      <c r="Y43" s="4">
        <f t="shared" si="2"/>
        <v>-0.108616975609756</v>
      </c>
      <c r="Z43" s="4">
        <f t="shared" si="4"/>
        <v>0.00939127118644068</v>
      </c>
      <c r="AA43" s="4">
        <f t="shared" si="3"/>
        <v>-0.0215473058082575</v>
      </c>
    </row>
    <row r="44" s="4" customFormat="1" ht="15" customHeight="1" spans="1:27">
      <c r="A44" s="6" t="s">
        <v>25</v>
      </c>
      <c r="B44" s="1">
        <v>5</v>
      </c>
      <c r="C44" s="1">
        <v>1.1625</v>
      </c>
      <c r="D44" s="1">
        <v>19.508</v>
      </c>
      <c r="E44" s="1">
        <v>0.3319</v>
      </c>
      <c r="F44" s="1">
        <v>2.312</v>
      </c>
      <c r="G44" s="1">
        <f t="shared" si="0"/>
        <v>-0.207554310770643</v>
      </c>
      <c r="W44" s="8"/>
      <c r="X44" s="4">
        <f t="shared" si="1"/>
        <v>0.0208720051413883</v>
      </c>
      <c r="Y44" s="4">
        <f t="shared" si="2"/>
        <v>-0.145299452157598</v>
      </c>
      <c r="Z44" s="4">
        <f t="shared" si="4"/>
        <v>-0.0599252542372882</v>
      </c>
      <c r="AA44" s="4">
        <f t="shared" si="3"/>
        <v>-0.0232016095171449</v>
      </c>
    </row>
    <row r="45" s="4" customFormat="1" ht="15" customHeight="1" spans="1:27">
      <c r="A45" s="6" t="s">
        <v>25</v>
      </c>
      <c r="B45" s="1">
        <v>5</v>
      </c>
      <c r="C45" s="1">
        <v>1.0265</v>
      </c>
      <c r="D45" s="1">
        <v>16.473</v>
      </c>
      <c r="E45" s="1">
        <v>0.3512</v>
      </c>
      <c r="F45" s="1">
        <v>1.982</v>
      </c>
      <c r="G45" s="1">
        <f t="shared" si="0"/>
        <v>-0.201351232365896</v>
      </c>
      <c r="W45" s="8"/>
      <c r="X45" s="4">
        <f t="shared" si="1"/>
        <v>-0.0831819794344472</v>
      </c>
      <c r="Y45" s="4">
        <f t="shared" si="2"/>
        <v>-0.0630754371482176</v>
      </c>
      <c r="Z45" s="4">
        <f t="shared" si="4"/>
        <v>-0.0455402118644068</v>
      </c>
      <c r="AA45" s="4">
        <f t="shared" si="3"/>
        <v>-0.00955360391882436</v>
      </c>
    </row>
    <row r="46" s="4" customFormat="1" ht="15" customHeight="1" spans="1:27">
      <c r="A46" s="6" t="s">
        <v>25</v>
      </c>
      <c r="B46" s="1">
        <v>5</v>
      </c>
      <c r="C46" s="1">
        <v>1.0901</v>
      </c>
      <c r="D46" s="1">
        <v>19.284</v>
      </c>
      <c r="E46" s="1">
        <v>0.3316</v>
      </c>
      <c r="F46" s="1">
        <v>2.283</v>
      </c>
      <c r="G46" s="1">
        <f t="shared" si="0"/>
        <v>-0.255903394136148</v>
      </c>
      <c r="W46" s="8"/>
      <c r="X46" s="4">
        <f t="shared" si="1"/>
        <v>-0.0345214395886888</v>
      </c>
      <c r="Y46" s="4">
        <f t="shared" si="2"/>
        <v>-0.139230859287054</v>
      </c>
      <c r="Z46" s="4">
        <f t="shared" si="4"/>
        <v>-0.0601488559322034</v>
      </c>
      <c r="AA46" s="4">
        <f t="shared" si="3"/>
        <v>-0.0220022393282015</v>
      </c>
    </row>
    <row r="47" s="4" customFormat="1" ht="15" customHeight="1" spans="1:27">
      <c r="A47" s="6" t="s">
        <v>27</v>
      </c>
      <c r="B47" s="1">
        <v>6</v>
      </c>
      <c r="C47" s="1">
        <v>1.0049</v>
      </c>
      <c r="D47" s="1">
        <v>15.398</v>
      </c>
      <c r="E47" s="1">
        <v>0.362</v>
      </c>
      <c r="F47" s="1">
        <v>1.802</v>
      </c>
      <c r="G47" s="1">
        <f t="shared" si="0"/>
        <v>-0.173259598346525</v>
      </c>
      <c r="H47" s="7"/>
      <c r="W47" s="8" t="s">
        <v>28</v>
      </c>
      <c r="X47" s="4">
        <f t="shared" si="1"/>
        <v>-0.0997082005141388</v>
      </c>
      <c r="Y47" s="4">
        <f t="shared" si="2"/>
        <v>-0.0339516097560976</v>
      </c>
      <c r="Z47" s="4">
        <f t="shared" si="4"/>
        <v>-0.0374905508474576</v>
      </c>
      <c r="AA47" s="4">
        <f t="shared" si="3"/>
        <v>-0.00210923722883136</v>
      </c>
    </row>
    <row r="48" s="4" customFormat="1" ht="15" customHeight="1" spans="1:27">
      <c r="A48" s="6" t="s">
        <v>27</v>
      </c>
      <c r="B48" s="1">
        <v>6</v>
      </c>
      <c r="C48" s="1">
        <v>0.939</v>
      </c>
      <c r="D48" s="1">
        <v>19.542</v>
      </c>
      <c r="E48" s="1">
        <v>0.2913</v>
      </c>
      <c r="F48" s="1">
        <v>2.383</v>
      </c>
      <c r="G48" s="1">
        <f t="shared" si="0"/>
        <v>-0.412673070274489</v>
      </c>
      <c r="X48" s="4">
        <f t="shared" si="1"/>
        <v>-0.150128476863753</v>
      </c>
      <c r="Y48" s="4">
        <f t="shared" si="2"/>
        <v>-0.146220577861163</v>
      </c>
      <c r="Z48" s="4">
        <f t="shared" si="4"/>
        <v>-0.0901860169491525</v>
      </c>
      <c r="AA48" s="4">
        <f t="shared" si="3"/>
        <v>-0.0261379986004199</v>
      </c>
    </row>
    <row r="49" s="4" customFormat="1" ht="15" customHeight="1" spans="1:27">
      <c r="A49" s="6" t="s">
        <v>27</v>
      </c>
      <c r="B49" s="1">
        <v>6</v>
      </c>
      <c r="C49" s="1">
        <v>0.8811</v>
      </c>
      <c r="D49" s="1">
        <v>19.998</v>
      </c>
      <c r="E49" s="1">
        <v>0.2942</v>
      </c>
      <c r="F49" s="1">
        <v>2.576</v>
      </c>
      <c r="G49" s="1">
        <f t="shared" si="0"/>
        <v>-0.47514697754728</v>
      </c>
      <c r="W49" s="8"/>
      <c r="X49" s="4">
        <f t="shared" si="1"/>
        <v>-0.19442793059126</v>
      </c>
      <c r="Y49" s="4">
        <f t="shared" si="2"/>
        <v>-0.158574499061914</v>
      </c>
      <c r="Z49" s="4">
        <f t="shared" si="4"/>
        <v>-0.0880245338983051</v>
      </c>
      <c r="AA49" s="4">
        <f t="shared" si="3"/>
        <v>-0.0341200139958013</v>
      </c>
    </row>
    <row r="50" s="4" customFormat="1" ht="15" customHeight="1" spans="1:27">
      <c r="A50" s="6" t="s">
        <v>27</v>
      </c>
      <c r="B50" s="1">
        <v>6</v>
      </c>
      <c r="C50" s="1">
        <v>1.0956</v>
      </c>
      <c r="D50" s="1">
        <v>18.891</v>
      </c>
      <c r="E50" s="1">
        <v>0.3535</v>
      </c>
      <c r="F50" s="1">
        <v>2.224</v>
      </c>
      <c r="G50" s="1">
        <f t="shared" si="0"/>
        <v>-0.222285177428117</v>
      </c>
      <c r="W50" s="8"/>
      <c r="X50" s="4">
        <f t="shared" si="1"/>
        <v>-0.0303133740359897</v>
      </c>
      <c r="Y50" s="4">
        <f t="shared" si="2"/>
        <v>-0.128583729831144</v>
      </c>
      <c r="Z50" s="4">
        <f t="shared" si="4"/>
        <v>-0.0438259322033898</v>
      </c>
      <c r="AA50" s="4">
        <f t="shared" si="3"/>
        <v>-0.0195621413575927</v>
      </c>
    </row>
    <row r="51" s="4" customFormat="1" ht="15" customHeight="1" spans="1:27">
      <c r="A51" s="6" t="s">
        <v>27</v>
      </c>
      <c r="B51" s="1">
        <v>6</v>
      </c>
      <c r="C51" s="1">
        <v>0.9913</v>
      </c>
      <c r="D51" s="1">
        <v>18.312</v>
      </c>
      <c r="E51" s="1">
        <v>0.3227</v>
      </c>
      <c r="F51" s="1">
        <v>2.288</v>
      </c>
      <c r="G51" s="1">
        <f t="shared" si="0"/>
        <v>-0.312002500082977</v>
      </c>
      <c r="W51" s="8"/>
      <c r="X51" s="4">
        <f t="shared" si="1"/>
        <v>-0.110113598971722</v>
      </c>
      <c r="Y51" s="4">
        <f t="shared" si="2"/>
        <v>-0.112897500938086</v>
      </c>
      <c r="Z51" s="4">
        <f t="shared" si="4"/>
        <v>-0.0667823728813559</v>
      </c>
      <c r="AA51" s="4">
        <f t="shared" si="3"/>
        <v>-0.0222090272918125</v>
      </c>
    </row>
    <row r="52" s="4" customFormat="1" ht="15" customHeight="1" spans="1:27">
      <c r="A52" s="6" t="s">
        <v>27</v>
      </c>
      <c r="B52" s="1">
        <v>6</v>
      </c>
      <c r="C52" s="1">
        <v>0.8625</v>
      </c>
      <c r="D52" s="1">
        <v>17.259</v>
      </c>
      <c r="E52" s="1">
        <v>0.3068</v>
      </c>
      <c r="F52" s="1">
        <v>2.267</v>
      </c>
      <c r="G52" s="1">
        <f t="shared" si="0"/>
        <v>-0.393002319804209</v>
      </c>
      <c r="W52" s="8"/>
      <c r="X52" s="4">
        <f t="shared" si="1"/>
        <v>-0.208658843187661</v>
      </c>
      <c r="Y52" s="4">
        <f t="shared" si="2"/>
        <v>-0.0843696960600375</v>
      </c>
      <c r="Z52" s="4">
        <f t="shared" si="4"/>
        <v>-0.0786332627118644</v>
      </c>
      <c r="AA52" s="4">
        <f t="shared" si="3"/>
        <v>-0.0213405178446466</v>
      </c>
    </row>
    <row r="53" s="4" customFormat="1" ht="15" customHeight="1" spans="1:27">
      <c r="A53" s="6" t="s">
        <v>27</v>
      </c>
      <c r="B53" s="1">
        <v>6</v>
      </c>
      <c r="C53" s="1">
        <v>1.0004</v>
      </c>
      <c r="D53" s="1">
        <v>20.319</v>
      </c>
      <c r="E53" s="1">
        <v>0.3624</v>
      </c>
      <c r="F53" s="1">
        <v>2.653</v>
      </c>
      <c r="G53" s="1">
        <f t="shared" si="0"/>
        <v>-0.344919136509584</v>
      </c>
      <c r="W53" s="8"/>
      <c r="X53" s="4">
        <f t="shared" si="1"/>
        <v>-0.103151163239074</v>
      </c>
      <c r="Y53" s="4">
        <f t="shared" si="2"/>
        <v>-0.167271009380863</v>
      </c>
      <c r="Z53" s="4">
        <f t="shared" si="4"/>
        <v>-0.0371924152542373</v>
      </c>
      <c r="AA53" s="4">
        <f t="shared" si="3"/>
        <v>-0.0373045486354094</v>
      </c>
    </row>
    <row r="54" s="4" customFormat="1" ht="15" customHeight="1" spans="1:27">
      <c r="A54" s="6" t="s">
        <v>27</v>
      </c>
      <c r="B54" s="1">
        <v>6</v>
      </c>
      <c r="C54" s="1">
        <v>1.07</v>
      </c>
      <c r="D54" s="1">
        <v>17.513</v>
      </c>
      <c r="E54" s="1">
        <v>0.3587</v>
      </c>
      <c r="F54" s="1">
        <v>2.179</v>
      </c>
      <c r="G54" s="1">
        <f t="shared" si="0"/>
        <v>-0.19880227250767</v>
      </c>
      <c r="W54" s="8"/>
      <c r="X54" s="4">
        <f t="shared" si="1"/>
        <v>-0.0499000064267351</v>
      </c>
      <c r="Y54" s="4">
        <f t="shared" si="2"/>
        <v>-0.0912510469043152</v>
      </c>
      <c r="Z54" s="4">
        <f t="shared" si="4"/>
        <v>-0.0399501694915254</v>
      </c>
      <c r="AA54" s="4">
        <f t="shared" si="3"/>
        <v>-0.0177010496850945</v>
      </c>
    </row>
    <row r="55" s="4" customFormat="1" ht="15" customHeight="1" spans="1:27">
      <c r="A55" s="6" t="s">
        <v>27</v>
      </c>
      <c r="B55" s="1">
        <v>6</v>
      </c>
      <c r="C55" s="1">
        <v>0.8757</v>
      </c>
      <c r="D55" s="1">
        <v>20.185</v>
      </c>
      <c r="E55" s="1">
        <v>0.2943</v>
      </c>
      <c r="F55" s="1">
        <v>2.378</v>
      </c>
      <c r="G55" s="1">
        <f t="shared" si="0"/>
        <v>-0.476081386929511</v>
      </c>
      <c r="W55" s="8"/>
      <c r="X55" s="4">
        <f t="shared" si="1"/>
        <v>-0.198559485861182</v>
      </c>
      <c r="Y55" s="4">
        <f t="shared" si="2"/>
        <v>-0.16364069043152</v>
      </c>
      <c r="Z55" s="4">
        <f t="shared" si="4"/>
        <v>-0.08795</v>
      </c>
      <c r="AA55" s="4">
        <f t="shared" si="3"/>
        <v>-0.025931210636809</v>
      </c>
    </row>
    <row r="56" s="4" customFormat="1" ht="15" customHeight="1" spans="1:27">
      <c r="A56" s="6" t="s">
        <v>29</v>
      </c>
      <c r="B56" s="1">
        <v>7</v>
      </c>
      <c r="C56" s="1">
        <v>0.9766</v>
      </c>
      <c r="D56" s="1">
        <v>19.822</v>
      </c>
      <c r="E56" s="1">
        <v>0.3247</v>
      </c>
      <c r="F56" s="1">
        <v>2.395</v>
      </c>
      <c r="G56" s="1">
        <f t="shared" si="0"/>
        <v>-0.367092914117529</v>
      </c>
      <c r="H56" s="11"/>
      <c r="W56" s="8" t="s">
        <v>30</v>
      </c>
      <c r="X56" s="4">
        <f t="shared" si="1"/>
        <v>-0.121360610539846</v>
      </c>
      <c r="Y56" s="4">
        <f t="shared" si="2"/>
        <v>-0.153806318949343</v>
      </c>
      <c r="Z56" s="4">
        <f t="shared" si="4"/>
        <v>-0.0652916949152543</v>
      </c>
      <c r="AA56" s="4">
        <f t="shared" si="3"/>
        <v>-0.0266342897130861</v>
      </c>
    </row>
    <row r="57" s="4" customFormat="1" ht="15" customHeight="1" spans="1:27">
      <c r="A57" s="6" t="s">
        <v>29</v>
      </c>
      <c r="B57" s="1">
        <v>7</v>
      </c>
      <c r="C57" s="1">
        <v>1.0945</v>
      </c>
      <c r="D57" s="1">
        <v>18.368</v>
      </c>
      <c r="E57" s="1">
        <v>0.3908</v>
      </c>
      <c r="F57" s="1">
        <v>2.285</v>
      </c>
      <c r="G57" s="1">
        <f t="shared" si="0"/>
        <v>-0.183679378951491</v>
      </c>
      <c r="X57" s="4">
        <f t="shared" si="1"/>
        <v>-0.0311549871465295</v>
      </c>
      <c r="Y57" s="4">
        <f t="shared" si="2"/>
        <v>-0.114414649155722</v>
      </c>
      <c r="Z57" s="4">
        <f t="shared" si="4"/>
        <v>-0.0160247881355932</v>
      </c>
      <c r="AA57" s="4">
        <f t="shared" si="3"/>
        <v>-0.0220849545136459</v>
      </c>
    </row>
    <row r="58" s="4" customFormat="1" ht="15" customHeight="1" spans="1:27">
      <c r="A58" s="6" t="s">
        <v>29</v>
      </c>
      <c r="B58" s="1">
        <v>7</v>
      </c>
      <c r="C58" s="1">
        <v>1.0594</v>
      </c>
      <c r="D58" s="1">
        <v>20.851</v>
      </c>
      <c r="E58" s="1">
        <v>0.3643</v>
      </c>
      <c r="F58" s="1">
        <v>2.529</v>
      </c>
      <c r="G58" s="1">
        <f t="shared" si="0"/>
        <v>-0.307646492173733</v>
      </c>
      <c r="W58" s="8"/>
      <c r="X58" s="4">
        <f t="shared" si="1"/>
        <v>-0.0580100964010283</v>
      </c>
      <c r="Y58" s="4">
        <f t="shared" si="2"/>
        <v>-0.181683917448405</v>
      </c>
      <c r="Z58" s="4">
        <f t="shared" si="4"/>
        <v>-0.0357762711864407</v>
      </c>
      <c r="AA58" s="4">
        <f t="shared" si="3"/>
        <v>-0.0321762071378586</v>
      </c>
    </row>
    <row r="59" s="4" customFormat="1" ht="15" customHeight="1" spans="1:27">
      <c r="A59" s="6" t="s">
        <v>29</v>
      </c>
      <c r="B59" s="1">
        <v>7</v>
      </c>
      <c r="C59" s="1">
        <v>0.9466</v>
      </c>
      <c r="D59" s="1">
        <v>20.269</v>
      </c>
      <c r="E59" s="1">
        <v>0.321</v>
      </c>
      <c r="F59" s="1">
        <v>2.46</v>
      </c>
      <c r="G59" s="1">
        <f t="shared" si="0"/>
        <v>-0.407602090523295</v>
      </c>
      <c r="W59" s="8"/>
      <c r="X59" s="4">
        <f t="shared" si="1"/>
        <v>-0.144313695372751</v>
      </c>
      <c r="Y59" s="4">
        <f t="shared" si="2"/>
        <v>-0.165916412757974</v>
      </c>
      <c r="Z59" s="4">
        <f t="shared" si="4"/>
        <v>-0.0680494491525424</v>
      </c>
      <c r="AA59" s="4">
        <f t="shared" si="3"/>
        <v>-0.029322533240028</v>
      </c>
    </row>
    <row r="60" s="4" customFormat="1" ht="15" customHeight="1" spans="1:27">
      <c r="A60" s="6" t="s">
        <v>29</v>
      </c>
      <c r="B60" s="1">
        <v>7</v>
      </c>
      <c r="C60" s="1">
        <v>0.9857</v>
      </c>
      <c r="D60" s="1">
        <v>19.038</v>
      </c>
      <c r="E60" s="1">
        <v>0.367</v>
      </c>
      <c r="F60" s="1">
        <v>2.446</v>
      </c>
      <c r="G60" s="1">
        <f t="shared" si="0"/>
        <v>-0.309471801583758</v>
      </c>
      <c r="W60" s="8"/>
      <c r="X60" s="4">
        <f t="shared" si="1"/>
        <v>-0.114398174807198</v>
      </c>
      <c r="Y60" s="4">
        <f t="shared" si="2"/>
        <v>-0.132566243902439</v>
      </c>
      <c r="Z60" s="4">
        <f t="shared" si="4"/>
        <v>-0.0337638559322034</v>
      </c>
      <c r="AA60" s="4">
        <f t="shared" si="3"/>
        <v>-0.0287435269419174</v>
      </c>
    </row>
    <row r="61" s="4" customFormat="1" ht="15" customHeight="1" spans="1:27">
      <c r="A61" s="6" t="s">
        <v>29</v>
      </c>
      <c r="B61" s="1">
        <v>7</v>
      </c>
      <c r="C61" s="1">
        <v>0.9025</v>
      </c>
      <c r="D61" s="1">
        <v>21.14</v>
      </c>
      <c r="E61" s="1">
        <v>0.3704</v>
      </c>
      <c r="F61" s="1">
        <v>2.538</v>
      </c>
      <c r="G61" s="1">
        <f t="shared" si="0"/>
        <v>-0.431346344868015</v>
      </c>
      <c r="W61" s="8"/>
      <c r="X61" s="4">
        <f t="shared" si="1"/>
        <v>-0.178054730077121</v>
      </c>
      <c r="Y61" s="4">
        <f t="shared" si="2"/>
        <v>-0.189513485928705</v>
      </c>
      <c r="Z61" s="4">
        <f t="shared" si="4"/>
        <v>-0.0312297033898305</v>
      </c>
      <c r="AA61" s="4">
        <f t="shared" si="3"/>
        <v>-0.0325484254723583</v>
      </c>
    </row>
    <row r="62" s="4" customFormat="1" ht="15" customHeight="1" spans="1:27">
      <c r="A62" s="6" t="s">
        <v>29</v>
      </c>
      <c r="B62" s="1">
        <v>7</v>
      </c>
      <c r="C62" s="1">
        <v>0.899</v>
      </c>
      <c r="D62" s="1">
        <v>21.925</v>
      </c>
      <c r="E62" s="1">
        <v>0.3401</v>
      </c>
      <c r="F62" s="1">
        <v>2.862</v>
      </c>
      <c r="G62" s="1">
        <f t="shared" si="0"/>
        <v>-0.491275002972977</v>
      </c>
      <c r="W62" s="8"/>
      <c r="X62" s="4">
        <f t="shared" si="1"/>
        <v>-0.180732589974293</v>
      </c>
      <c r="Y62" s="4">
        <f t="shared" si="2"/>
        <v>-0.210780652908068</v>
      </c>
      <c r="Z62" s="4">
        <f t="shared" si="4"/>
        <v>-0.0538134745762712</v>
      </c>
      <c r="AA62" s="4">
        <f t="shared" si="3"/>
        <v>-0.0459482855143457</v>
      </c>
    </row>
    <row r="63" s="4" customFormat="1" ht="15" customHeight="1" spans="1:27">
      <c r="A63" s="6" t="s">
        <v>29</v>
      </c>
      <c r="B63" s="1">
        <v>7</v>
      </c>
      <c r="C63" s="1">
        <v>0.982</v>
      </c>
      <c r="D63" s="1">
        <v>20.037</v>
      </c>
      <c r="E63" s="1">
        <v>0.3058</v>
      </c>
      <c r="F63" s="1">
        <v>2.604</v>
      </c>
      <c r="G63" s="1">
        <f t="shared" si="0"/>
        <v>-0.391516767984628</v>
      </c>
      <c r="W63" s="8"/>
      <c r="X63" s="4">
        <f t="shared" si="1"/>
        <v>-0.117229055269923</v>
      </c>
      <c r="Y63" s="4">
        <f t="shared" si="2"/>
        <v>-0.159631084427767</v>
      </c>
      <c r="Z63" s="4">
        <f t="shared" si="4"/>
        <v>-0.0793786016949152</v>
      </c>
      <c r="AA63" s="4">
        <f t="shared" si="3"/>
        <v>-0.0352780265920224</v>
      </c>
    </row>
    <row r="64" s="4" customFormat="1" ht="15" customHeight="1" spans="1:27">
      <c r="A64" s="6" t="s">
        <v>29</v>
      </c>
      <c r="B64" s="1">
        <v>7</v>
      </c>
      <c r="C64" s="1">
        <v>0.9146</v>
      </c>
      <c r="D64" s="1">
        <v>19.457</v>
      </c>
      <c r="E64" s="1">
        <v>0.3224</v>
      </c>
      <c r="F64" s="1">
        <v>2.28</v>
      </c>
      <c r="G64" s="1">
        <f t="shared" si="0"/>
        <v>-0.40159889058974</v>
      </c>
      <c r="W64" s="8"/>
      <c r="X64" s="4">
        <f t="shared" si="1"/>
        <v>-0.168796985861182</v>
      </c>
      <c r="Y64" s="4">
        <f t="shared" si="2"/>
        <v>-0.143917763602251</v>
      </c>
      <c r="Z64" s="4">
        <f t="shared" si="4"/>
        <v>-0.0670059745762712</v>
      </c>
      <c r="AA64" s="4">
        <f t="shared" si="3"/>
        <v>-0.021878166550035</v>
      </c>
    </row>
    <row r="65" s="4" customFormat="1" ht="15" customHeight="1" spans="1:27">
      <c r="A65" s="6" t="s">
        <v>31</v>
      </c>
      <c r="B65" s="1">
        <v>8</v>
      </c>
      <c r="C65" s="1">
        <v>0.8971</v>
      </c>
      <c r="D65" s="1">
        <v>20.484</v>
      </c>
      <c r="E65" s="1">
        <v>0.3149</v>
      </c>
      <c r="F65" s="1">
        <v>2.397</v>
      </c>
      <c r="G65" s="1">
        <f t="shared" si="0"/>
        <v>-0.453240485431124</v>
      </c>
      <c r="W65" s="8" t="s">
        <v>32</v>
      </c>
      <c r="X65" s="4">
        <f t="shared" si="1"/>
        <v>-0.182186285347044</v>
      </c>
      <c r="Y65" s="4">
        <f t="shared" si="2"/>
        <v>-0.171741178236398</v>
      </c>
      <c r="Z65" s="4">
        <f t="shared" si="4"/>
        <v>-0.0725960169491525</v>
      </c>
      <c r="AA65" s="4">
        <f t="shared" si="3"/>
        <v>-0.0267170048985304</v>
      </c>
    </row>
    <row r="66" s="4" customFormat="1" ht="15" customHeight="1" spans="1:27">
      <c r="A66" s="6" t="s">
        <v>31</v>
      </c>
      <c r="B66" s="1">
        <v>8</v>
      </c>
      <c r="C66" s="1">
        <v>0.8396</v>
      </c>
      <c r="D66" s="1">
        <v>19.425</v>
      </c>
      <c r="E66" s="1">
        <v>0.3558</v>
      </c>
      <c r="F66" s="1">
        <v>2.532</v>
      </c>
      <c r="G66" s="1">
        <f t="shared" ref="G66:G129" si="5">SUM(X66,Y66,Z66,AA66)</f>
        <v>-0.443642452165445</v>
      </c>
      <c r="H66" s="11"/>
      <c r="X66" s="4">
        <f t="shared" ref="X66:X129" si="6">(C66-S$2)/N$2*I$2</f>
        <v>-0.226179697943445</v>
      </c>
      <c r="Y66" s="4">
        <f t="shared" ref="Y66:Y129" si="7">(T$2-D66)/O$2*J$2</f>
        <v>-0.143050821763602</v>
      </c>
      <c r="Z66" s="4">
        <f t="shared" si="4"/>
        <v>-0.0421116525423729</v>
      </c>
      <c r="AA66" s="4">
        <f t="shared" ref="AA66:AA129" si="8">(V$2-F66)/Q$2*L$2</f>
        <v>-0.0323002799160252</v>
      </c>
    </row>
    <row r="67" s="4" customFormat="1" ht="15" customHeight="1" spans="1:27">
      <c r="A67" s="6" t="s">
        <v>31</v>
      </c>
      <c r="B67" s="1">
        <v>8</v>
      </c>
      <c r="C67" s="1">
        <v>0.8438</v>
      </c>
      <c r="D67" s="1">
        <v>18.823</v>
      </c>
      <c r="E67" s="1">
        <v>0.3207</v>
      </c>
      <c r="F67" s="1">
        <v>2.283</v>
      </c>
      <c r="G67" s="1">
        <f t="shared" si="5"/>
        <v>-0.439983034666512</v>
      </c>
      <c r="W67" s="8"/>
      <c r="X67" s="4">
        <f t="shared" si="6"/>
        <v>-0.222966266066838</v>
      </c>
      <c r="Y67" s="4">
        <f t="shared" si="7"/>
        <v>-0.126741478424015</v>
      </c>
      <c r="Z67" s="4">
        <f t="shared" si="4"/>
        <v>-0.0682730508474576</v>
      </c>
      <c r="AA67" s="4">
        <f t="shared" si="8"/>
        <v>-0.0220022393282015</v>
      </c>
    </row>
    <row r="68" s="4" customFormat="1" ht="15" customHeight="1" spans="1:27">
      <c r="A68" s="6" t="s">
        <v>31</v>
      </c>
      <c r="B68" s="1">
        <v>8</v>
      </c>
      <c r="C68" s="1">
        <v>0.8837</v>
      </c>
      <c r="D68" s="1">
        <v>20.489</v>
      </c>
      <c r="E68" s="1">
        <v>0.3155</v>
      </c>
      <c r="F68" s="1">
        <v>2.354</v>
      </c>
      <c r="G68" s="1">
        <f t="shared" si="5"/>
        <v>-0.46140274310856</v>
      </c>
      <c r="W68" s="8"/>
      <c r="X68" s="4">
        <f t="shared" si="6"/>
        <v>-0.192438663239074</v>
      </c>
      <c r="Y68" s="4">
        <f t="shared" si="7"/>
        <v>-0.171876637898687</v>
      </c>
      <c r="Z68" s="4">
        <f t="shared" si="4"/>
        <v>-0.072148813559322</v>
      </c>
      <c r="AA68" s="4">
        <f t="shared" si="8"/>
        <v>-0.0249386284114766</v>
      </c>
    </row>
    <row r="69" s="4" customFormat="1" ht="15" customHeight="1" spans="1:27">
      <c r="A69" s="6" t="s">
        <v>31</v>
      </c>
      <c r="B69" s="1">
        <v>8</v>
      </c>
      <c r="C69" s="1">
        <v>0.8463</v>
      </c>
      <c r="D69" s="1">
        <v>16.191</v>
      </c>
      <c r="E69" s="1">
        <v>0.3079</v>
      </c>
      <c r="F69" s="1">
        <v>1.976</v>
      </c>
      <c r="G69" s="1">
        <f t="shared" si="5"/>
        <v>-0.363607869385551</v>
      </c>
      <c r="W69" s="8"/>
      <c r="X69" s="4">
        <f t="shared" si="6"/>
        <v>-0.221053508997429</v>
      </c>
      <c r="Y69" s="4">
        <f t="shared" si="7"/>
        <v>-0.0554355121951219</v>
      </c>
      <c r="Z69" s="4">
        <f t="shared" si="4"/>
        <v>-0.0778133898305085</v>
      </c>
      <c r="AA69" s="4">
        <f t="shared" si="8"/>
        <v>-0.00930545836249125</v>
      </c>
    </row>
    <row r="70" s="4" customFormat="1" ht="15" customHeight="1" spans="1:27">
      <c r="A70" s="6" t="s">
        <v>31</v>
      </c>
      <c r="B70" s="1">
        <v>8</v>
      </c>
      <c r="C70" s="1">
        <v>0.8225</v>
      </c>
      <c r="D70" s="1">
        <v>17.6</v>
      </c>
      <c r="E70" s="1">
        <v>0.2907</v>
      </c>
      <c r="F70" s="1">
        <v>2.214</v>
      </c>
      <c r="G70" s="1">
        <f t="shared" si="5"/>
        <v>-0.442652787095697</v>
      </c>
      <c r="W70" s="8"/>
      <c r="X70" s="4">
        <f t="shared" si="6"/>
        <v>-0.2392629562982</v>
      </c>
      <c r="Y70" s="4">
        <f t="shared" si="7"/>
        <v>-0.0936080450281426</v>
      </c>
      <c r="Z70" s="4">
        <f t="shared" si="4"/>
        <v>-0.0906332203389831</v>
      </c>
      <c r="AA70" s="4">
        <f t="shared" si="8"/>
        <v>-0.0191485654303709</v>
      </c>
    </row>
    <row r="71" s="4" customFormat="1" ht="15" customHeight="1" spans="1:27">
      <c r="A71" s="6" t="s">
        <v>31</v>
      </c>
      <c r="B71" s="1">
        <v>8</v>
      </c>
      <c r="C71" s="1">
        <v>0.7951</v>
      </c>
      <c r="D71" s="1">
        <v>16.963</v>
      </c>
      <c r="E71" s="1">
        <v>0.2834</v>
      </c>
      <c r="F71" s="1">
        <v>1.985</v>
      </c>
      <c r="G71" s="1">
        <f t="shared" si="5"/>
        <v>-0.442329129443698</v>
      </c>
      <c r="W71" s="8"/>
      <c r="X71" s="4">
        <f t="shared" si="6"/>
        <v>-0.26022677377892</v>
      </c>
      <c r="Y71" s="4">
        <f t="shared" si="7"/>
        <v>-0.0763504840525329</v>
      </c>
      <c r="Z71" s="4">
        <f t="shared" si="4"/>
        <v>-0.0960741949152542</v>
      </c>
      <c r="AA71" s="4">
        <f t="shared" si="8"/>
        <v>-0.00967767669699091</v>
      </c>
    </row>
    <row r="72" s="4" customFormat="1" ht="15" customHeight="1" spans="1:27">
      <c r="A72" s="6" t="s">
        <v>31</v>
      </c>
      <c r="B72" s="1">
        <v>8</v>
      </c>
      <c r="C72" s="1">
        <v>0.8025</v>
      </c>
      <c r="D72" s="1">
        <v>19.848</v>
      </c>
      <c r="E72" s="1">
        <v>0.2896</v>
      </c>
      <c r="F72" s="1">
        <v>2.39</v>
      </c>
      <c r="G72" s="1">
        <f t="shared" si="5"/>
        <v>-0.52695631701653</v>
      </c>
      <c r="W72" s="8"/>
      <c r="X72" s="4">
        <f t="shared" si="6"/>
        <v>-0.25456501285347</v>
      </c>
      <c r="Y72" s="4">
        <f t="shared" si="7"/>
        <v>-0.154510709193246</v>
      </c>
      <c r="Z72" s="4">
        <f t="shared" si="4"/>
        <v>-0.091453093220339</v>
      </c>
      <c r="AA72" s="4">
        <f t="shared" si="8"/>
        <v>-0.0264275017494752</v>
      </c>
    </row>
    <row r="73" s="4" customFormat="1" ht="15" customHeight="1" spans="1:27">
      <c r="A73" s="6" t="s">
        <v>31</v>
      </c>
      <c r="B73" s="1">
        <v>8</v>
      </c>
      <c r="C73" s="1">
        <v>0.9262</v>
      </c>
      <c r="D73" s="1">
        <v>17.605</v>
      </c>
      <c r="E73" s="1">
        <v>0.3052</v>
      </c>
      <c r="F73" s="1">
        <v>2.116</v>
      </c>
      <c r="G73" s="1">
        <f t="shared" si="5"/>
        <v>-0.3485866241779</v>
      </c>
      <c r="W73" s="8"/>
      <c r="X73" s="4">
        <f t="shared" si="6"/>
        <v>-0.159921793059126</v>
      </c>
      <c r="Y73" s="4">
        <f t="shared" si="7"/>
        <v>-0.0937435046904315</v>
      </c>
      <c r="Z73" s="4">
        <f t="shared" si="4"/>
        <v>-0.0798258050847458</v>
      </c>
      <c r="AA73" s="4">
        <f t="shared" si="8"/>
        <v>-0.0150955213435969</v>
      </c>
    </row>
    <row r="74" s="4" customFormat="1" ht="15" customHeight="1" spans="1:27">
      <c r="A74" s="6" t="s">
        <v>33</v>
      </c>
      <c r="B74" s="1">
        <v>9</v>
      </c>
      <c r="C74" s="1">
        <v>0.983</v>
      </c>
      <c r="D74" s="1">
        <v>17.249</v>
      </c>
      <c r="E74" s="1">
        <v>0.2949</v>
      </c>
      <c r="F74" s="10">
        <v>2.228</v>
      </c>
      <c r="G74" s="1">
        <f t="shared" si="5"/>
        <v>-0.30779309751627</v>
      </c>
      <c r="W74" s="8" t="s">
        <v>34</v>
      </c>
      <c r="X74" s="4">
        <f t="shared" si="6"/>
        <v>-0.116463952442159</v>
      </c>
      <c r="Y74" s="4">
        <f t="shared" si="7"/>
        <v>-0.0840987767354596</v>
      </c>
      <c r="Z74" s="4">
        <f t="shared" si="4"/>
        <v>-0.0875027966101695</v>
      </c>
      <c r="AA74" s="4">
        <f t="shared" si="8"/>
        <v>-0.0197275717284815</v>
      </c>
    </row>
    <row r="75" s="4" customFormat="1" ht="15" customHeight="1" spans="1:27">
      <c r="A75" s="6" t="s">
        <v>33</v>
      </c>
      <c r="B75" s="1">
        <v>9</v>
      </c>
      <c r="C75" s="1">
        <v>1.0466</v>
      </c>
      <c r="D75" s="1">
        <v>15.882</v>
      </c>
      <c r="E75" s="1">
        <v>0.3114</v>
      </c>
      <c r="F75" s="1">
        <v>2.11</v>
      </c>
      <c r="G75" s="1">
        <f t="shared" si="5"/>
        <v>-0.204919596839161</v>
      </c>
      <c r="H75" s="11"/>
      <c r="X75" s="4">
        <f t="shared" si="6"/>
        <v>-0.067803412596401</v>
      </c>
      <c r="Y75" s="4">
        <f t="shared" si="7"/>
        <v>-0.047064105065666</v>
      </c>
      <c r="Z75" s="4">
        <f t="shared" si="4"/>
        <v>-0.0752047033898305</v>
      </c>
      <c r="AA75" s="4">
        <f t="shared" si="8"/>
        <v>-0.0148473757872638</v>
      </c>
    </row>
    <row r="76" s="4" customFormat="1" ht="15" customHeight="1" spans="1:27">
      <c r="A76" s="6" t="s">
        <v>33</v>
      </c>
      <c r="B76" s="1">
        <v>9</v>
      </c>
      <c r="C76" s="1">
        <v>0.9437</v>
      </c>
      <c r="D76" s="1">
        <v>18.346</v>
      </c>
      <c r="E76" s="1">
        <v>0.3121</v>
      </c>
      <c r="F76" s="1">
        <v>2.155</v>
      </c>
      <c r="G76" s="1">
        <f t="shared" si="5"/>
        <v>-0.351742553776373</v>
      </c>
      <c r="W76" s="8"/>
      <c r="X76" s="4">
        <f t="shared" si="6"/>
        <v>-0.146532493573265</v>
      </c>
      <c r="Y76" s="4">
        <f t="shared" si="7"/>
        <v>-0.113818626641651</v>
      </c>
      <c r="Z76" s="4">
        <f t="shared" si="4"/>
        <v>-0.0746829661016949</v>
      </c>
      <c r="AA76" s="4">
        <f t="shared" si="8"/>
        <v>-0.0167084674597621</v>
      </c>
    </row>
    <row r="77" s="4" customFormat="1" ht="15" customHeight="1" spans="1:27">
      <c r="A77" s="6" t="s">
        <v>33</v>
      </c>
      <c r="B77" s="1">
        <v>9</v>
      </c>
      <c r="C77" s="1">
        <v>0.8815</v>
      </c>
      <c r="D77" s="1">
        <v>15.741</v>
      </c>
      <c r="E77" s="1">
        <v>0.3268</v>
      </c>
      <c r="F77" s="1">
        <v>2.064</v>
      </c>
      <c r="G77" s="1">
        <f t="shared" si="5"/>
        <v>-0.314037441622163</v>
      </c>
      <c r="W77" s="8"/>
      <c r="X77" s="4">
        <f t="shared" si="6"/>
        <v>-0.194121889460154</v>
      </c>
      <c r="Y77" s="4">
        <f t="shared" si="7"/>
        <v>-0.0432441425891182</v>
      </c>
      <c r="Z77" s="4">
        <f t="shared" si="4"/>
        <v>-0.0637264830508475</v>
      </c>
      <c r="AA77" s="4">
        <f t="shared" si="8"/>
        <v>-0.0129449265220434</v>
      </c>
    </row>
    <row r="78" s="4" customFormat="1" ht="15" customHeight="1" spans="1:27">
      <c r="A78" s="6" t="s">
        <v>33</v>
      </c>
      <c r="B78" s="1">
        <v>9</v>
      </c>
      <c r="C78" s="1">
        <v>0.8743</v>
      </c>
      <c r="D78" s="1">
        <v>17.15</v>
      </c>
      <c r="E78" s="1">
        <v>0.3618</v>
      </c>
      <c r="F78" s="1">
        <v>2.098</v>
      </c>
      <c r="G78" s="1">
        <f t="shared" si="5"/>
        <v>-0.333038008560856</v>
      </c>
      <c r="W78" s="8"/>
      <c r="X78" s="4">
        <f t="shared" si="6"/>
        <v>-0.199630629820051</v>
      </c>
      <c r="Y78" s="4">
        <f t="shared" si="7"/>
        <v>-0.0814166754221388</v>
      </c>
      <c r="Z78" s="4">
        <f t="shared" si="4"/>
        <v>-0.0376396186440678</v>
      </c>
      <c r="AA78" s="4">
        <f t="shared" si="8"/>
        <v>-0.0143510846745976</v>
      </c>
    </row>
    <row r="79" s="4" customFormat="1" ht="15" customHeight="1" spans="1:27">
      <c r="A79" s="6" t="s">
        <v>33</v>
      </c>
      <c r="B79" s="1">
        <v>9</v>
      </c>
      <c r="C79" s="1">
        <v>0.9317</v>
      </c>
      <c r="D79" s="1">
        <v>16.78</v>
      </c>
      <c r="E79" s="1">
        <v>0.295</v>
      </c>
      <c r="F79" s="1">
        <v>1.991</v>
      </c>
      <c r="G79" s="1">
        <f t="shared" si="5"/>
        <v>-0.324460472884373</v>
      </c>
      <c r="W79" s="8"/>
      <c r="X79" s="4">
        <f t="shared" si="6"/>
        <v>-0.155713727506427</v>
      </c>
      <c r="Y79" s="4">
        <f t="shared" si="7"/>
        <v>-0.071392660412758</v>
      </c>
      <c r="Z79" s="4">
        <f t="shared" si="4"/>
        <v>-0.0874282627118644</v>
      </c>
      <c r="AA79" s="4">
        <f t="shared" si="8"/>
        <v>-0.00992582225332401</v>
      </c>
    </row>
    <row r="80" s="4" customFormat="1" ht="15" customHeight="1" spans="1:27">
      <c r="A80" s="6" t="s">
        <v>33</v>
      </c>
      <c r="B80" s="1">
        <v>9</v>
      </c>
      <c r="C80" s="1">
        <v>0.9863</v>
      </c>
      <c r="D80" s="1">
        <v>20.063</v>
      </c>
      <c r="E80" s="1">
        <v>0.3329</v>
      </c>
      <c r="F80" s="1">
        <v>2.434</v>
      </c>
      <c r="G80" s="1">
        <f t="shared" si="5"/>
        <v>-0.361701738865698</v>
      </c>
      <c r="W80" s="8"/>
      <c r="X80" s="4">
        <f t="shared" si="6"/>
        <v>-0.11393911311054</v>
      </c>
      <c r="Y80" s="4">
        <f t="shared" si="7"/>
        <v>-0.16033547467167</v>
      </c>
      <c r="Z80" s="4">
        <f t="shared" si="4"/>
        <v>-0.0591799152542373</v>
      </c>
      <c r="AA80" s="4">
        <f t="shared" si="8"/>
        <v>-0.0282472358292512</v>
      </c>
    </row>
    <row r="81" s="4" customFormat="1" ht="15" customHeight="1" spans="1:27">
      <c r="A81" s="6" t="s">
        <v>33</v>
      </c>
      <c r="B81" s="1">
        <v>9</v>
      </c>
      <c r="C81" s="1">
        <v>1.0063</v>
      </c>
      <c r="D81" s="1">
        <v>17.672</v>
      </c>
      <c r="E81" s="1">
        <v>0.2879</v>
      </c>
      <c r="F81" s="1">
        <v>2.067</v>
      </c>
      <c r="G81" s="1">
        <f t="shared" si="5"/>
        <v>-0.299984889512108</v>
      </c>
      <c r="W81" s="8"/>
      <c r="X81" s="4">
        <f t="shared" si="6"/>
        <v>-0.0986370565552699</v>
      </c>
      <c r="Y81" s="4">
        <f t="shared" si="7"/>
        <v>-0.0955586641651032</v>
      </c>
      <c r="Z81" s="4">
        <f t="shared" si="4"/>
        <v>-0.0927201694915255</v>
      </c>
      <c r="AA81" s="4">
        <f t="shared" si="8"/>
        <v>-0.0130689993002099</v>
      </c>
    </row>
    <row r="82" s="4" customFormat="1" ht="15" customHeight="1" spans="1:27">
      <c r="A82" s="6" t="s">
        <v>33</v>
      </c>
      <c r="B82" s="1">
        <v>9</v>
      </c>
      <c r="C82" s="1">
        <v>0.9711</v>
      </c>
      <c r="D82" s="1">
        <v>16.612</v>
      </c>
      <c r="E82" s="1">
        <v>0.3355</v>
      </c>
      <c r="F82" s="1">
        <v>2.034</v>
      </c>
      <c r="G82" s="1">
        <f t="shared" si="5"/>
        <v>-0.261356124491078</v>
      </c>
      <c r="W82" s="8"/>
      <c r="X82" s="4">
        <f t="shared" si="6"/>
        <v>-0.125568676092545</v>
      </c>
      <c r="Y82" s="4">
        <f t="shared" si="7"/>
        <v>-0.0668412157598499</v>
      </c>
      <c r="Z82" s="4">
        <f t="shared" si="4"/>
        <v>-0.0572420338983051</v>
      </c>
      <c r="AA82" s="4">
        <f t="shared" si="8"/>
        <v>-0.0117041987403779</v>
      </c>
    </row>
    <row r="83" s="5" customFormat="1" ht="15" customHeight="1" spans="1:27">
      <c r="A83" s="6" t="s">
        <v>35</v>
      </c>
      <c r="B83" s="1">
        <v>10</v>
      </c>
      <c r="C83" s="1">
        <v>1.1024</v>
      </c>
      <c r="D83" s="1">
        <v>15.938</v>
      </c>
      <c r="E83" s="1">
        <v>0.3287</v>
      </c>
      <c r="F83" s="10">
        <v>1.973</v>
      </c>
      <c r="G83" s="1">
        <f t="shared" si="5"/>
        <v>-0.145183652657875</v>
      </c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2" t="s">
        <v>36</v>
      </c>
      <c r="X83" s="4">
        <f t="shared" si="6"/>
        <v>-0.0251106748071978</v>
      </c>
      <c r="Y83" s="4">
        <f t="shared" si="7"/>
        <v>-0.0485812532833021</v>
      </c>
      <c r="Z83" s="4">
        <f t="shared" ref="Z83:Z146" si="9">(E83-U$2)/P$2*K$2</f>
        <v>-0.0623103389830509</v>
      </c>
      <c r="AA83" s="4">
        <f t="shared" si="8"/>
        <v>-0.00918138558432471</v>
      </c>
    </row>
    <row r="84" s="4" customFormat="1" ht="15" customHeight="1" spans="1:27">
      <c r="A84" s="6" t="s">
        <v>35</v>
      </c>
      <c r="B84" s="1">
        <v>10</v>
      </c>
      <c r="C84" s="1">
        <v>1.0504</v>
      </c>
      <c r="D84" s="1">
        <v>14.881</v>
      </c>
      <c r="E84" s="1">
        <v>0.3535</v>
      </c>
      <c r="F84" s="1">
        <v>1.942</v>
      </c>
      <c r="G84" s="1">
        <f t="shared" si="5"/>
        <v>-0.136566334939649</v>
      </c>
      <c r="X84" s="4">
        <f t="shared" si="6"/>
        <v>-0.0648960218508997</v>
      </c>
      <c r="Y84" s="4">
        <f t="shared" si="7"/>
        <v>-0.0199450806754221</v>
      </c>
      <c r="Z84" s="4">
        <f t="shared" si="9"/>
        <v>-0.0438259322033898</v>
      </c>
      <c r="AA84" s="4">
        <f t="shared" si="8"/>
        <v>-0.00789930020993702</v>
      </c>
    </row>
    <row r="85" s="4" customFormat="1" ht="15" customHeight="1" spans="1:27">
      <c r="A85" s="6" t="s">
        <v>35</v>
      </c>
      <c r="B85" s="1">
        <v>10</v>
      </c>
      <c r="C85" s="1">
        <v>1.0368</v>
      </c>
      <c r="D85" s="1">
        <v>15.578</v>
      </c>
      <c r="E85" s="1">
        <v>0.3843</v>
      </c>
      <c r="F85" s="1">
        <v>1.967</v>
      </c>
      <c r="G85" s="1">
        <f t="shared" si="5"/>
        <v>-0.143932309460398</v>
      </c>
      <c r="W85" s="8"/>
      <c r="X85" s="4">
        <f t="shared" si="6"/>
        <v>-0.0753014203084832</v>
      </c>
      <c r="Y85" s="4">
        <f t="shared" si="7"/>
        <v>-0.038828157598499</v>
      </c>
      <c r="Z85" s="4">
        <f t="shared" si="9"/>
        <v>-0.0208694915254238</v>
      </c>
      <c r="AA85" s="4">
        <f t="shared" si="8"/>
        <v>-0.00893324002799161</v>
      </c>
    </row>
    <row r="86" s="4" customFormat="1" ht="15" customHeight="1" spans="1:27">
      <c r="A86" s="6" t="s">
        <v>35</v>
      </c>
      <c r="B86" s="1">
        <v>10</v>
      </c>
      <c r="C86" s="1">
        <v>1.1515</v>
      </c>
      <c r="D86" s="1">
        <v>15.21</v>
      </c>
      <c r="E86" s="1">
        <v>0.3805</v>
      </c>
      <c r="F86" s="1">
        <v>1.832</v>
      </c>
      <c r="G86" s="1">
        <f t="shared" si="5"/>
        <v>-0.0434541970895578</v>
      </c>
      <c r="W86" s="8"/>
      <c r="X86" s="4">
        <f t="shared" si="6"/>
        <v>0.0124558740359898</v>
      </c>
      <c r="Y86" s="4">
        <f t="shared" si="7"/>
        <v>-0.0288583264540338</v>
      </c>
      <c r="Z86" s="4">
        <f t="shared" si="9"/>
        <v>-0.0237017796610169</v>
      </c>
      <c r="AA86" s="4">
        <f t="shared" si="8"/>
        <v>-0.00334996501049686</v>
      </c>
    </row>
    <row r="87" s="4" customFormat="1" ht="15" customHeight="1" spans="1:27">
      <c r="A87" s="6" t="s">
        <v>35</v>
      </c>
      <c r="B87" s="1">
        <v>10</v>
      </c>
      <c r="C87" s="1">
        <v>1.0929</v>
      </c>
      <c r="D87" s="1">
        <v>14.379</v>
      </c>
      <c r="E87" s="1">
        <v>0.3612</v>
      </c>
      <c r="F87" s="1">
        <v>1.912</v>
      </c>
      <c r="G87" s="1">
        <f t="shared" si="5"/>
        <v>-0.0834694767147344</v>
      </c>
      <c r="W87" s="8"/>
      <c r="X87" s="4">
        <f t="shared" si="6"/>
        <v>-0.0323791516709511</v>
      </c>
      <c r="Y87" s="4">
        <f t="shared" si="7"/>
        <v>-0.0063449305816135</v>
      </c>
      <c r="Z87" s="4">
        <f t="shared" si="9"/>
        <v>-0.0380868220338983</v>
      </c>
      <c r="AA87" s="4">
        <f t="shared" si="8"/>
        <v>-0.00665857242827152</v>
      </c>
    </row>
    <row r="88" s="4" customFormat="1" ht="15" customHeight="1" spans="1:27">
      <c r="A88" s="6" t="s">
        <v>35</v>
      </c>
      <c r="B88" s="1">
        <v>10</v>
      </c>
      <c r="C88" s="1">
        <v>1.1114</v>
      </c>
      <c r="D88" s="1">
        <v>14.687</v>
      </c>
      <c r="E88" s="1">
        <v>0.3906</v>
      </c>
      <c r="F88" s="1">
        <v>1.912</v>
      </c>
      <c r="G88" s="1">
        <f t="shared" si="5"/>
        <v>-0.055746423496413</v>
      </c>
      <c r="W88" s="8"/>
      <c r="X88" s="4">
        <f t="shared" si="6"/>
        <v>-0.0182247493573264</v>
      </c>
      <c r="Y88" s="4">
        <f t="shared" si="7"/>
        <v>-0.0146892457786116</v>
      </c>
      <c r="Z88" s="4">
        <f t="shared" si="9"/>
        <v>-0.0161738559322034</v>
      </c>
      <c r="AA88" s="4">
        <f t="shared" si="8"/>
        <v>-0.00665857242827152</v>
      </c>
    </row>
    <row r="89" s="4" customFormat="1" ht="15" customHeight="1" spans="1:27">
      <c r="A89" s="6" t="s">
        <v>35</v>
      </c>
      <c r="B89" s="1">
        <v>10</v>
      </c>
      <c r="C89" s="1">
        <v>1.0949</v>
      </c>
      <c r="D89" s="1">
        <v>15.006</v>
      </c>
      <c r="E89" s="1">
        <v>0.3977</v>
      </c>
      <c r="F89" s="1">
        <v>1.885</v>
      </c>
      <c r="G89" s="1">
        <f t="shared" si="5"/>
        <v>-0.0706043848253844</v>
      </c>
      <c r="W89" s="8"/>
      <c r="X89" s="4">
        <f t="shared" si="6"/>
        <v>-0.0308489460154241</v>
      </c>
      <c r="Y89" s="4">
        <f t="shared" si="7"/>
        <v>-0.0233315722326454</v>
      </c>
      <c r="Z89" s="4">
        <f t="shared" si="9"/>
        <v>-0.0108819491525424</v>
      </c>
      <c r="AA89" s="4">
        <f t="shared" si="8"/>
        <v>-0.00554191742477257</v>
      </c>
    </row>
    <row r="90" s="4" customFormat="1" ht="15" customHeight="1" spans="1:27">
      <c r="A90" s="6" t="s">
        <v>35</v>
      </c>
      <c r="B90" s="1">
        <v>10</v>
      </c>
      <c r="C90" s="1">
        <v>1.1094</v>
      </c>
      <c r="D90" s="1">
        <v>14.944</v>
      </c>
      <c r="E90" s="1">
        <v>0.3295</v>
      </c>
      <c r="F90" s="1">
        <v>1.776</v>
      </c>
      <c r="G90" s="1">
        <f t="shared" si="5"/>
        <v>-0.104154835047781</v>
      </c>
      <c r="W90" s="8"/>
      <c r="X90" s="4">
        <f t="shared" si="6"/>
        <v>-0.0197549550128534</v>
      </c>
      <c r="Y90" s="4">
        <f t="shared" si="7"/>
        <v>-0.0216518724202627</v>
      </c>
      <c r="Z90" s="4">
        <f t="shared" si="9"/>
        <v>-0.0617140677966102</v>
      </c>
      <c r="AA90" s="4">
        <f t="shared" si="8"/>
        <v>-0.00103393981805459</v>
      </c>
    </row>
    <row r="91" s="4" customFormat="1" ht="15" customHeight="1" spans="1:27">
      <c r="A91" s="6" t="s">
        <v>35</v>
      </c>
      <c r="B91" s="1">
        <v>10</v>
      </c>
      <c r="C91" s="1">
        <v>1.1454</v>
      </c>
      <c r="D91" s="1">
        <v>15.266</v>
      </c>
      <c r="E91" s="1">
        <v>0.3506</v>
      </c>
      <c r="F91" s="1">
        <v>1.969</v>
      </c>
      <c r="G91" s="1">
        <f t="shared" si="5"/>
        <v>-0.0775900983527106</v>
      </c>
      <c r="W91" s="8"/>
      <c r="X91" s="4">
        <f t="shared" si="6"/>
        <v>0.00778874678663245</v>
      </c>
      <c r="Y91" s="4">
        <f t="shared" si="7"/>
        <v>-0.0303754746716698</v>
      </c>
      <c r="Z91" s="4">
        <f t="shared" si="9"/>
        <v>-0.0459874152542373</v>
      </c>
      <c r="AA91" s="4">
        <f t="shared" si="8"/>
        <v>-0.00901595521343598</v>
      </c>
    </row>
    <row r="92" s="4" customFormat="1" ht="15" customHeight="1" spans="1:27">
      <c r="A92" s="6" t="s">
        <v>37</v>
      </c>
      <c r="B92" s="1">
        <v>11</v>
      </c>
      <c r="C92" s="1">
        <v>1.0949</v>
      </c>
      <c r="D92" s="1">
        <v>17.443</v>
      </c>
      <c r="E92" s="1">
        <v>0.3399</v>
      </c>
      <c r="F92" s="1">
        <v>2.296</v>
      </c>
      <c r="G92" s="1">
        <f t="shared" si="5"/>
        <v>-0.196705988054166</v>
      </c>
      <c r="H92" s="7"/>
      <c r="W92" s="8" t="s">
        <v>38</v>
      </c>
      <c r="X92" s="4">
        <f t="shared" si="6"/>
        <v>-0.0308489460154241</v>
      </c>
      <c r="Y92" s="4">
        <f t="shared" si="7"/>
        <v>-0.0893546116322702</v>
      </c>
      <c r="Z92" s="4">
        <f t="shared" si="9"/>
        <v>-0.0539625423728814</v>
      </c>
      <c r="AA92" s="4">
        <f t="shared" si="8"/>
        <v>-0.0225398880335899</v>
      </c>
    </row>
    <row r="93" s="4" customFormat="1" ht="15" customHeight="1" spans="1:27">
      <c r="A93" s="6" t="s">
        <v>37</v>
      </c>
      <c r="B93" s="1">
        <v>11</v>
      </c>
      <c r="C93" s="1">
        <v>0.8486</v>
      </c>
      <c r="D93" s="1">
        <v>19.222</v>
      </c>
      <c r="E93" s="1">
        <v>0.2789</v>
      </c>
      <c r="F93" s="1">
        <v>2.453</v>
      </c>
      <c r="G93" s="1">
        <f t="shared" si="5"/>
        <v>-0.485306182398201</v>
      </c>
      <c r="X93" s="4">
        <f t="shared" si="6"/>
        <v>-0.219293772493573</v>
      </c>
      <c r="Y93" s="4">
        <f t="shared" si="7"/>
        <v>-0.137551159474672</v>
      </c>
      <c r="Z93" s="4">
        <f t="shared" si="9"/>
        <v>-0.0994282203389831</v>
      </c>
      <c r="AA93" s="4">
        <f t="shared" si="8"/>
        <v>-0.0290330300909727</v>
      </c>
    </row>
    <row r="94" s="4" customFormat="1" ht="15" customHeight="1" spans="1:27">
      <c r="A94" s="6" t="s">
        <v>37</v>
      </c>
      <c r="B94" s="1">
        <v>11</v>
      </c>
      <c r="C94" s="1">
        <v>1.0358</v>
      </c>
      <c r="D94" s="1">
        <v>17.006</v>
      </c>
      <c r="E94" s="1">
        <v>0.3318</v>
      </c>
      <c r="F94" s="1">
        <v>2.244</v>
      </c>
      <c r="G94" s="1">
        <f t="shared" si="5"/>
        <v>-0.233971041632094</v>
      </c>
      <c r="W94" s="8"/>
      <c r="X94" s="4">
        <f t="shared" si="6"/>
        <v>-0.0760665231362466</v>
      </c>
      <c r="Y94" s="4">
        <f t="shared" si="7"/>
        <v>-0.0775154371482176</v>
      </c>
      <c r="Z94" s="4">
        <f t="shared" si="9"/>
        <v>-0.0599997881355932</v>
      </c>
      <c r="AA94" s="4">
        <f t="shared" si="8"/>
        <v>-0.0203892932120364</v>
      </c>
    </row>
    <row r="95" s="4" customFormat="1" ht="15" customHeight="1" spans="1:27">
      <c r="A95" s="6" t="s">
        <v>37</v>
      </c>
      <c r="B95" s="1">
        <v>11</v>
      </c>
      <c r="C95" s="1">
        <v>1.0027</v>
      </c>
      <c r="D95" s="1">
        <v>18.298</v>
      </c>
      <c r="E95" s="1">
        <v>0.2901</v>
      </c>
      <c r="F95" s="1">
        <v>2.277</v>
      </c>
      <c r="G95" s="1">
        <f t="shared" si="5"/>
        <v>-0.326744158119578</v>
      </c>
      <c r="W95" s="8"/>
      <c r="X95" s="4">
        <f t="shared" si="6"/>
        <v>-0.101391426735218</v>
      </c>
      <c r="Y95" s="4">
        <f t="shared" si="7"/>
        <v>-0.112518213883677</v>
      </c>
      <c r="Z95" s="4">
        <f t="shared" si="9"/>
        <v>-0.0910804237288135</v>
      </c>
      <c r="AA95" s="4">
        <f t="shared" si="8"/>
        <v>-0.0217540937718684</v>
      </c>
    </row>
    <row r="96" s="4" customFormat="1" ht="15" customHeight="1" spans="1:27">
      <c r="A96" s="6" t="s">
        <v>37</v>
      </c>
      <c r="B96" s="1">
        <v>11</v>
      </c>
      <c r="C96" s="1">
        <v>1.0068</v>
      </c>
      <c r="D96" s="1">
        <v>16.779</v>
      </c>
      <c r="E96" s="1">
        <v>0.2807</v>
      </c>
      <c r="F96" s="1">
        <v>2.034</v>
      </c>
      <c r="G96" s="1">
        <f t="shared" si="5"/>
        <v>-0.279410882531558</v>
      </c>
      <c r="W96" s="8"/>
      <c r="X96" s="4">
        <f t="shared" si="6"/>
        <v>-0.0982545051413882</v>
      </c>
      <c r="Y96" s="4">
        <f t="shared" si="7"/>
        <v>-0.0713655684803002</v>
      </c>
      <c r="Z96" s="4">
        <f t="shared" si="9"/>
        <v>-0.0980866101694915</v>
      </c>
      <c r="AA96" s="4">
        <f t="shared" si="8"/>
        <v>-0.0117041987403779</v>
      </c>
    </row>
    <row r="97" s="4" customFormat="1" ht="15" customHeight="1" spans="1:27">
      <c r="A97" s="6" t="s">
        <v>37</v>
      </c>
      <c r="B97" s="1">
        <v>11</v>
      </c>
      <c r="C97" s="1">
        <v>0.9504</v>
      </c>
      <c r="D97" s="1">
        <v>17.852</v>
      </c>
      <c r="E97" s="1">
        <v>0.2851</v>
      </c>
      <c r="F97" s="1">
        <v>2.245</v>
      </c>
      <c r="G97" s="1">
        <f t="shared" si="5"/>
        <v>-0.35707928608358</v>
      </c>
      <c r="W97" s="8"/>
      <c r="X97" s="4">
        <f t="shared" si="6"/>
        <v>-0.141406304627249</v>
      </c>
      <c r="Y97" s="4">
        <f t="shared" si="7"/>
        <v>-0.100435212007505</v>
      </c>
      <c r="Z97" s="4">
        <f t="shared" si="9"/>
        <v>-0.0948071186440678</v>
      </c>
      <c r="AA97" s="4">
        <f t="shared" si="8"/>
        <v>-0.0204306508047586</v>
      </c>
    </row>
    <row r="98" s="4" customFormat="1" ht="15" customHeight="1" spans="1:27">
      <c r="A98" s="6" t="s">
        <v>37</v>
      </c>
      <c r="B98" s="1">
        <v>11</v>
      </c>
      <c r="C98" s="1">
        <v>1.0576</v>
      </c>
      <c r="D98" s="1">
        <v>17.24</v>
      </c>
      <c r="E98" s="1">
        <v>0.3045</v>
      </c>
      <c r="F98" s="1">
        <v>2.191</v>
      </c>
      <c r="G98" s="1">
        <f t="shared" si="5"/>
        <v>-0.241787114004984</v>
      </c>
      <c r="W98" s="8"/>
      <c r="X98" s="4">
        <f t="shared" si="6"/>
        <v>-0.0593872814910024</v>
      </c>
      <c r="Y98" s="4">
        <f t="shared" si="7"/>
        <v>-0.0838549493433395</v>
      </c>
      <c r="Z98" s="4">
        <f t="shared" si="9"/>
        <v>-0.0803475423728814</v>
      </c>
      <c r="AA98" s="4">
        <f t="shared" si="8"/>
        <v>-0.0181973407977607</v>
      </c>
    </row>
    <row r="99" s="4" customFormat="1" ht="15" customHeight="1" spans="1:27">
      <c r="A99" s="6" t="s">
        <v>37</v>
      </c>
      <c r="B99" s="1">
        <v>11</v>
      </c>
      <c r="C99" s="1">
        <v>0.9443</v>
      </c>
      <c r="D99" s="1">
        <v>17.667</v>
      </c>
      <c r="E99" s="1">
        <v>0.2859</v>
      </c>
      <c r="F99" s="1">
        <v>2.177</v>
      </c>
      <c r="G99" s="1">
        <f t="shared" si="5"/>
        <v>-0.353325818336698</v>
      </c>
      <c r="W99" s="8"/>
      <c r="X99" s="4">
        <f t="shared" si="6"/>
        <v>-0.146073431876607</v>
      </c>
      <c r="Y99" s="4">
        <f t="shared" si="7"/>
        <v>-0.0954232045028143</v>
      </c>
      <c r="Z99" s="4">
        <f t="shared" si="9"/>
        <v>-0.0942108474576271</v>
      </c>
      <c r="AA99" s="4">
        <f t="shared" si="8"/>
        <v>-0.0176183344996501</v>
      </c>
    </row>
    <row r="100" s="4" customFormat="1" ht="15" customHeight="1" spans="1:27">
      <c r="A100" s="6" t="s">
        <v>37</v>
      </c>
      <c r="B100" s="1">
        <v>11</v>
      </c>
      <c r="C100" s="1">
        <v>0.973</v>
      </c>
      <c r="D100" s="1">
        <v>18.284</v>
      </c>
      <c r="E100" s="1">
        <v>0.2755</v>
      </c>
      <c r="F100" s="1">
        <v>2.32</v>
      </c>
      <c r="G100" s="1">
        <f t="shared" si="5"/>
        <v>-0.361748750689341</v>
      </c>
      <c r="W100" s="8"/>
      <c r="X100" s="4">
        <f t="shared" si="6"/>
        <v>-0.124114980719794</v>
      </c>
      <c r="Y100" s="4">
        <f t="shared" si="7"/>
        <v>-0.112138926829268</v>
      </c>
      <c r="Z100" s="4">
        <f t="shared" si="9"/>
        <v>-0.101962372881356</v>
      </c>
      <c r="AA100" s="4">
        <f t="shared" si="8"/>
        <v>-0.0235324702589223</v>
      </c>
    </row>
    <row r="101" s="4" customFormat="1" ht="15" customHeight="1" spans="1:27">
      <c r="A101" s="6" t="s">
        <v>39</v>
      </c>
      <c r="B101" s="1">
        <v>12</v>
      </c>
      <c r="C101" s="1">
        <v>1.0631</v>
      </c>
      <c r="D101" s="1">
        <v>16.367</v>
      </c>
      <c r="E101" s="1">
        <v>0.2911</v>
      </c>
      <c r="F101" s="1">
        <v>1.984</v>
      </c>
      <c r="G101" s="1">
        <f t="shared" si="5"/>
        <v>-0.215354312096027</v>
      </c>
      <c r="H101" s="7"/>
      <c r="W101" s="8" t="s">
        <v>40</v>
      </c>
      <c r="X101" s="4">
        <f t="shared" si="6"/>
        <v>-0.0551792159383033</v>
      </c>
      <c r="Y101" s="4">
        <f t="shared" si="7"/>
        <v>-0.0602036923076923</v>
      </c>
      <c r="Z101" s="4">
        <f t="shared" si="9"/>
        <v>-0.0903350847457627</v>
      </c>
      <c r="AA101" s="4">
        <f t="shared" si="8"/>
        <v>-0.00963631910426872</v>
      </c>
    </row>
    <row r="102" s="4" customFormat="1" ht="15" customHeight="1" spans="1:27">
      <c r="A102" s="6" t="s">
        <v>39</v>
      </c>
      <c r="B102" s="1">
        <v>12</v>
      </c>
      <c r="C102" s="1">
        <v>1.1483</v>
      </c>
      <c r="D102" s="1">
        <v>16</v>
      </c>
      <c r="E102" s="1">
        <v>0.3003</v>
      </c>
      <c r="F102" s="1">
        <v>1.965</v>
      </c>
      <c r="G102" s="1">
        <f t="shared" si="5"/>
        <v>-0.13258189905278</v>
      </c>
      <c r="X102" s="4">
        <f t="shared" si="6"/>
        <v>0.0100075449871467</v>
      </c>
      <c r="Y102" s="4">
        <f t="shared" si="7"/>
        <v>-0.0502609530956848</v>
      </c>
      <c r="Z102" s="4">
        <f t="shared" si="9"/>
        <v>-0.0834779661016949</v>
      </c>
      <c r="AA102" s="4">
        <f t="shared" si="8"/>
        <v>-0.00885052484254724</v>
      </c>
    </row>
    <row r="103" s="4" customFormat="1" ht="15" customHeight="1" spans="1:27">
      <c r="A103" s="6" t="s">
        <v>39</v>
      </c>
      <c r="B103" s="1">
        <v>12</v>
      </c>
      <c r="C103" s="1">
        <v>1.0694</v>
      </c>
      <c r="D103" s="1">
        <v>13.727</v>
      </c>
      <c r="E103" s="1">
        <v>0.353</v>
      </c>
      <c r="F103" s="1">
        <v>1.628</v>
      </c>
      <c r="G103" s="1">
        <f t="shared" si="5"/>
        <v>-0.078151676532617</v>
      </c>
      <c r="W103" s="8"/>
      <c r="X103" s="4">
        <f t="shared" si="6"/>
        <v>-0.0503590681233933</v>
      </c>
      <c r="Y103" s="4">
        <f t="shared" si="7"/>
        <v>0.011319009380863</v>
      </c>
      <c r="Z103" s="4">
        <f t="shared" si="9"/>
        <v>-0.0441986016949153</v>
      </c>
      <c r="AA103" s="4">
        <f t="shared" si="8"/>
        <v>0.00508698390482855</v>
      </c>
    </row>
    <row r="104" s="4" customFormat="1" ht="15" customHeight="1" spans="1:27">
      <c r="A104" s="6" t="s">
        <v>39</v>
      </c>
      <c r="B104" s="1">
        <v>12</v>
      </c>
      <c r="C104" s="1">
        <v>1.0294</v>
      </c>
      <c r="D104" s="1">
        <v>16.653</v>
      </c>
      <c r="E104" s="1">
        <v>0.3291</v>
      </c>
      <c r="F104" s="1">
        <v>2.08</v>
      </c>
      <c r="G104" s="1">
        <f t="shared" si="5"/>
        <v>-0.224534017619981</v>
      </c>
      <c r="W104" s="8"/>
      <c r="X104" s="4">
        <f t="shared" si="6"/>
        <v>-0.080963181233933</v>
      </c>
      <c r="Y104" s="4">
        <f t="shared" si="7"/>
        <v>-0.0679519849906191</v>
      </c>
      <c r="Z104" s="4">
        <f t="shared" si="9"/>
        <v>-0.0620122033898305</v>
      </c>
      <c r="AA104" s="4">
        <f t="shared" si="8"/>
        <v>-0.0136066480055983</v>
      </c>
    </row>
    <row r="105" s="4" customFormat="1" ht="15" customHeight="1" spans="1:27">
      <c r="A105" s="6" t="s">
        <v>39</v>
      </c>
      <c r="B105" s="1">
        <v>12</v>
      </c>
      <c r="C105" s="1">
        <v>1.0302</v>
      </c>
      <c r="D105" s="1">
        <v>14.021</v>
      </c>
      <c r="E105" s="1">
        <v>0.313</v>
      </c>
      <c r="F105" s="1">
        <v>1.888</v>
      </c>
      <c r="G105" s="1">
        <f t="shared" si="5"/>
        <v>-0.156675268953337</v>
      </c>
      <c r="W105" s="8"/>
      <c r="X105" s="4">
        <f t="shared" si="6"/>
        <v>-0.0803510989717223</v>
      </c>
      <c r="Y105" s="4">
        <f t="shared" si="7"/>
        <v>0.0033539812382739</v>
      </c>
      <c r="Z105" s="4">
        <f t="shared" si="9"/>
        <v>-0.0740121610169492</v>
      </c>
      <c r="AA105" s="4">
        <f t="shared" si="8"/>
        <v>-0.00566599020293912</v>
      </c>
    </row>
    <row r="106" s="4" customFormat="1" ht="15" customHeight="1" spans="1:27">
      <c r="A106" s="6" t="s">
        <v>39</v>
      </c>
      <c r="B106" s="1">
        <v>12</v>
      </c>
      <c r="C106" s="1">
        <v>1.0738</v>
      </c>
      <c r="D106" s="1">
        <v>15.378</v>
      </c>
      <c r="E106" s="1">
        <v>0.3252</v>
      </c>
      <c r="F106" s="1">
        <v>1.936</v>
      </c>
      <c r="G106" s="1">
        <f t="shared" si="5"/>
        <v>-0.152972566865508</v>
      </c>
      <c r="W106" s="8"/>
      <c r="X106" s="4">
        <f t="shared" si="6"/>
        <v>-0.0469926156812338</v>
      </c>
      <c r="Y106" s="4">
        <f t="shared" si="7"/>
        <v>-0.0334097711069418</v>
      </c>
      <c r="Z106" s="4">
        <f t="shared" si="9"/>
        <v>-0.0649190254237288</v>
      </c>
      <c r="AA106" s="4">
        <f t="shared" si="8"/>
        <v>-0.00765115465360392</v>
      </c>
    </row>
    <row r="107" s="4" customFormat="1" ht="15" customHeight="1" spans="1:27">
      <c r="A107" s="6" t="s">
        <v>39</v>
      </c>
      <c r="B107" s="1">
        <v>12</v>
      </c>
      <c r="C107" s="1">
        <v>1.0655</v>
      </c>
      <c r="D107" s="1">
        <v>15.912</v>
      </c>
      <c r="E107" s="1">
        <v>0.3429</v>
      </c>
      <c r="F107" s="1">
        <v>1.858</v>
      </c>
      <c r="G107" s="1">
        <f t="shared" si="5"/>
        <v>-0.157371620036073</v>
      </c>
      <c r="W107" s="8"/>
      <c r="X107" s="4">
        <f t="shared" si="6"/>
        <v>-0.053342969151671</v>
      </c>
      <c r="Y107" s="4">
        <f t="shared" si="7"/>
        <v>-0.0478768630393996</v>
      </c>
      <c r="Z107" s="4">
        <f t="shared" si="9"/>
        <v>-0.0517265254237288</v>
      </c>
      <c r="AA107" s="4">
        <f t="shared" si="8"/>
        <v>-0.00442526242127363</v>
      </c>
    </row>
    <row r="108" s="4" customFormat="1" ht="15" customHeight="1" spans="1:27">
      <c r="A108" s="6" t="s">
        <v>39</v>
      </c>
      <c r="B108" s="1">
        <v>12</v>
      </c>
      <c r="C108" s="1">
        <v>1.0684</v>
      </c>
      <c r="D108" s="1">
        <v>14.581</v>
      </c>
      <c r="E108" s="1">
        <v>0.3237</v>
      </c>
      <c r="F108" s="1">
        <v>1.714</v>
      </c>
      <c r="G108" s="1">
        <f t="shared" si="5"/>
        <v>-0.127448474856827</v>
      </c>
      <c r="W108" s="8"/>
      <c r="X108" s="4">
        <f t="shared" si="6"/>
        <v>-0.0511241709511567</v>
      </c>
      <c r="Y108" s="4">
        <f t="shared" si="7"/>
        <v>-0.0118175009380863</v>
      </c>
      <c r="Z108" s="4">
        <f t="shared" si="9"/>
        <v>-0.0660370338983051</v>
      </c>
      <c r="AA108" s="4">
        <f t="shared" si="8"/>
        <v>0.00153023093072078</v>
      </c>
    </row>
    <row r="109" s="4" customFormat="1" ht="15" customHeight="1" spans="1:27">
      <c r="A109" s="6" t="s">
        <v>39</v>
      </c>
      <c r="B109" s="1">
        <v>12</v>
      </c>
      <c r="C109" s="1">
        <v>1.0261</v>
      </c>
      <c r="D109" s="1">
        <v>14.763</v>
      </c>
      <c r="E109" s="1">
        <v>0.3533</v>
      </c>
      <c r="F109" s="1">
        <v>1.751</v>
      </c>
      <c r="G109" s="1">
        <f t="shared" si="5"/>
        <v>-0.144211253210956</v>
      </c>
      <c r="W109" s="8"/>
      <c r="X109" s="4">
        <f t="shared" si="6"/>
        <v>-0.0834880205655526</v>
      </c>
      <c r="Y109" s="4">
        <f t="shared" si="7"/>
        <v>-0.0167482326454034</v>
      </c>
      <c r="Z109" s="4">
        <f t="shared" si="9"/>
        <v>-0.043975</v>
      </c>
      <c r="AA109" s="4">
        <f t="shared" si="8"/>
        <v>0</v>
      </c>
    </row>
    <row r="110" s="4" customFormat="1" ht="15" customHeight="1" spans="1:27">
      <c r="A110" s="6" t="s">
        <v>41</v>
      </c>
      <c r="B110" s="1">
        <v>13</v>
      </c>
      <c r="C110" s="1">
        <v>1.2277</v>
      </c>
      <c r="D110" s="1">
        <v>16.89</v>
      </c>
      <c r="E110" s="1">
        <v>0.3696</v>
      </c>
      <c r="F110" s="1">
        <v>2.134</v>
      </c>
      <c r="G110" s="1">
        <f t="shared" si="5"/>
        <v>-0.0512819960604137</v>
      </c>
      <c r="H110" s="7"/>
      <c r="W110" s="8" t="s">
        <v>42</v>
      </c>
      <c r="X110" s="4">
        <f t="shared" si="6"/>
        <v>0.0707567095115682</v>
      </c>
      <c r="Y110" s="4">
        <f t="shared" si="7"/>
        <v>-0.0743727729831145</v>
      </c>
      <c r="Z110" s="4">
        <f t="shared" si="9"/>
        <v>-0.0318259745762712</v>
      </c>
      <c r="AA110" s="4">
        <f t="shared" si="8"/>
        <v>-0.0158399580125962</v>
      </c>
    </row>
    <row r="111" s="4" customFormat="1" ht="15" customHeight="1" spans="1:27">
      <c r="A111" s="6" t="s">
        <v>41</v>
      </c>
      <c r="B111" s="1">
        <v>13</v>
      </c>
      <c r="C111" s="1">
        <v>1.0316</v>
      </c>
      <c r="D111" s="1">
        <v>16.259</v>
      </c>
      <c r="E111" s="1">
        <v>0.3018</v>
      </c>
      <c r="F111" s="1">
        <v>2.032</v>
      </c>
      <c r="G111" s="1">
        <f t="shared" si="5"/>
        <v>-0.230539159797157</v>
      </c>
      <c r="X111" s="4">
        <f t="shared" si="6"/>
        <v>-0.0792799550128533</v>
      </c>
      <c r="Y111" s="4">
        <f t="shared" si="7"/>
        <v>-0.0572777636022514</v>
      </c>
      <c r="Z111" s="4">
        <f t="shared" si="9"/>
        <v>-0.0823599576271186</v>
      </c>
      <c r="AA111" s="4">
        <f t="shared" si="8"/>
        <v>-0.0116214835549335</v>
      </c>
    </row>
    <row r="112" s="4" customFormat="1" ht="15" customHeight="1" spans="1:27">
      <c r="A112" s="6" t="s">
        <v>41</v>
      </c>
      <c r="B112" s="1">
        <v>13</v>
      </c>
      <c r="C112" s="1">
        <v>1.0506</v>
      </c>
      <c r="D112" s="1">
        <v>15.292</v>
      </c>
      <c r="E112" s="1">
        <v>0.3333</v>
      </c>
      <c r="F112" s="1">
        <v>1.912</v>
      </c>
      <c r="G112" s="1">
        <f t="shared" si="5"/>
        <v>-0.161363218290208</v>
      </c>
      <c r="W112" s="8"/>
      <c r="X112" s="4">
        <f t="shared" si="6"/>
        <v>-0.064743001285347</v>
      </c>
      <c r="Y112" s="4">
        <f t="shared" si="7"/>
        <v>-0.0310798649155722</v>
      </c>
      <c r="Z112" s="4">
        <f t="shared" si="9"/>
        <v>-0.058881779661017</v>
      </c>
      <c r="AA112" s="4">
        <f t="shared" si="8"/>
        <v>-0.00665857242827152</v>
      </c>
    </row>
    <row r="113" s="4" customFormat="1" ht="15" customHeight="1" spans="1:27">
      <c r="A113" s="6" t="s">
        <v>41</v>
      </c>
      <c r="B113" s="1">
        <v>13</v>
      </c>
      <c r="C113" s="1">
        <v>1.1267</v>
      </c>
      <c r="D113" s="1">
        <v>14.567</v>
      </c>
      <c r="E113" s="1">
        <v>0.3198</v>
      </c>
      <c r="F113" s="1">
        <v>1.878</v>
      </c>
      <c r="G113" s="1">
        <f t="shared" si="5"/>
        <v>-0.0921531601841429</v>
      </c>
      <c r="W113" s="8"/>
      <c r="X113" s="4">
        <f t="shared" si="6"/>
        <v>-0.00651867609254488</v>
      </c>
      <c r="Y113" s="4">
        <f t="shared" si="7"/>
        <v>-0.0114382138836773</v>
      </c>
      <c r="Z113" s="4">
        <f t="shared" si="9"/>
        <v>-0.0689438559322034</v>
      </c>
      <c r="AA113" s="4">
        <f t="shared" si="8"/>
        <v>-0.00525241427571728</v>
      </c>
    </row>
    <row r="114" s="4" customFormat="1" ht="15" customHeight="1" spans="1:27">
      <c r="A114" s="6" t="s">
        <v>41</v>
      </c>
      <c r="B114" s="1">
        <v>13</v>
      </c>
      <c r="C114" s="1">
        <v>1.0931</v>
      </c>
      <c r="D114" s="1">
        <v>14.458</v>
      </c>
      <c r="E114" s="1">
        <v>0.3339</v>
      </c>
      <c r="F114" s="1">
        <v>1.878</v>
      </c>
      <c r="G114" s="1">
        <f t="shared" si="5"/>
        <v>-0.104398314898081</v>
      </c>
      <c r="W114" s="8"/>
      <c r="X114" s="4">
        <f t="shared" si="6"/>
        <v>-0.0322261311053984</v>
      </c>
      <c r="Y114" s="4">
        <f t="shared" si="7"/>
        <v>-0.00848519324577861</v>
      </c>
      <c r="Z114" s="4">
        <f t="shared" si="9"/>
        <v>-0.0584345762711865</v>
      </c>
      <c r="AA114" s="4">
        <f t="shared" si="8"/>
        <v>-0.00525241427571728</v>
      </c>
    </row>
    <row r="115" s="4" customFormat="1" ht="15" customHeight="1" spans="1:27">
      <c r="A115" s="6" t="s">
        <v>41</v>
      </c>
      <c r="B115" s="1">
        <v>13</v>
      </c>
      <c r="C115" s="1">
        <v>1.1093</v>
      </c>
      <c r="D115" s="1">
        <v>15.797</v>
      </c>
      <c r="E115" s="1">
        <v>0.3124</v>
      </c>
      <c r="F115" s="1">
        <v>2.1</v>
      </c>
      <c r="G115" s="1">
        <f t="shared" si="5"/>
        <v>-0.153485920369206</v>
      </c>
      <c r="W115" s="8"/>
      <c r="X115" s="4">
        <f t="shared" si="6"/>
        <v>-0.0198314652956298</v>
      </c>
      <c r="Y115" s="4">
        <f t="shared" si="7"/>
        <v>-0.0447612908067542</v>
      </c>
      <c r="Z115" s="4">
        <f t="shared" si="9"/>
        <v>-0.0744593644067797</v>
      </c>
      <c r="AA115" s="4">
        <f t="shared" si="8"/>
        <v>-0.014433799860042</v>
      </c>
    </row>
    <row r="116" s="4" customFormat="1" ht="15" customHeight="1" spans="1:27">
      <c r="A116" s="6" t="s">
        <v>41</v>
      </c>
      <c r="B116" s="1">
        <v>13</v>
      </c>
      <c r="C116" s="1">
        <v>1.0624</v>
      </c>
      <c r="D116" s="1">
        <v>14.329</v>
      </c>
      <c r="E116" s="1">
        <v>0.3424</v>
      </c>
      <c r="F116" s="1">
        <v>1.692</v>
      </c>
      <c r="G116" s="1">
        <f t="shared" si="5"/>
        <v>-0.110364218821107</v>
      </c>
      <c r="W116" s="8"/>
      <c r="X116" s="4">
        <f t="shared" si="6"/>
        <v>-0.0557147879177377</v>
      </c>
      <c r="Y116" s="4">
        <f t="shared" si="7"/>
        <v>-0.00499033395872422</v>
      </c>
      <c r="Z116" s="4">
        <f t="shared" si="9"/>
        <v>-0.0520991949152542</v>
      </c>
      <c r="AA116" s="4">
        <f t="shared" si="8"/>
        <v>0.00244009797060881</v>
      </c>
    </row>
    <row r="117" s="4" customFormat="1" ht="15" customHeight="1" spans="1:27">
      <c r="A117" s="6" t="s">
        <v>41</v>
      </c>
      <c r="B117" s="1">
        <v>13</v>
      </c>
      <c r="C117" s="1">
        <v>1.1701</v>
      </c>
      <c r="D117" s="1">
        <v>15.946</v>
      </c>
      <c r="E117" s="1">
        <v>0.3728</v>
      </c>
      <c r="F117" s="1">
        <v>2.053</v>
      </c>
      <c r="G117" s="1">
        <f t="shared" si="5"/>
        <v>-0.0640420849431814</v>
      </c>
      <c r="W117" s="8"/>
      <c r="X117" s="4">
        <f t="shared" si="6"/>
        <v>0.0266867866323908</v>
      </c>
      <c r="Y117" s="4">
        <f t="shared" si="7"/>
        <v>-0.0487979887429643</v>
      </c>
      <c r="Z117" s="4">
        <f t="shared" si="9"/>
        <v>-0.0294408898305085</v>
      </c>
      <c r="AA117" s="4">
        <f t="shared" si="8"/>
        <v>-0.0124899930020994</v>
      </c>
    </row>
    <row r="118" s="4" customFormat="1" ht="15" customHeight="1" spans="1:27">
      <c r="A118" s="6" t="s">
        <v>41</v>
      </c>
      <c r="B118" s="1">
        <v>13</v>
      </c>
      <c r="C118" s="1">
        <v>1.1364</v>
      </c>
      <c r="D118" s="1">
        <v>14.403</v>
      </c>
      <c r="E118" s="1">
        <v>0.3836</v>
      </c>
      <c r="F118" s="1">
        <v>1.863</v>
      </c>
      <c r="G118" s="1">
        <f t="shared" si="5"/>
        <v>-0.0321155948222832</v>
      </c>
      <c r="W118" s="8"/>
      <c r="X118" s="4">
        <f t="shared" si="6"/>
        <v>0.000902821336761064</v>
      </c>
      <c r="Y118" s="4">
        <f t="shared" si="7"/>
        <v>-0.00699513696060039</v>
      </c>
      <c r="Z118" s="4">
        <f t="shared" si="9"/>
        <v>-0.0213912288135593</v>
      </c>
      <c r="AA118" s="4">
        <f t="shared" si="8"/>
        <v>-0.00463205038488454</v>
      </c>
    </row>
    <row r="119" s="4" customFormat="1" ht="15" customHeight="1" spans="1:27">
      <c r="A119" s="6" t="s">
        <v>43</v>
      </c>
      <c r="B119" s="1">
        <v>14</v>
      </c>
      <c r="C119" s="1">
        <v>1.0766</v>
      </c>
      <c r="D119" s="1">
        <v>18.227</v>
      </c>
      <c r="E119" s="1">
        <v>0.3346</v>
      </c>
      <c r="F119" s="1">
        <v>2.26</v>
      </c>
      <c r="G119" s="1">
        <f t="shared" si="5"/>
        <v>-0.234408868121313</v>
      </c>
      <c r="W119" s="8"/>
      <c r="X119" s="4">
        <f t="shared" si="6"/>
        <v>-0.0448503277634961</v>
      </c>
      <c r="Y119" s="4">
        <f t="shared" si="7"/>
        <v>-0.110594686679174</v>
      </c>
      <c r="Z119" s="4">
        <f t="shared" si="9"/>
        <v>-0.0579128389830509</v>
      </c>
      <c r="AA119" s="4">
        <f t="shared" si="8"/>
        <v>-0.0210510146955913</v>
      </c>
    </row>
    <row r="120" s="4" customFormat="1" ht="15" customHeight="1" spans="1:27">
      <c r="A120" s="6" t="s">
        <v>43</v>
      </c>
      <c r="B120" s="1">
        <v>14</v>
      </c>
      <c r="C120" s="1">
        <v>1.0178</v>
      </c>
      <c r="D120" s="1">
        <v>17.449</v>
      </c>
      <c r="E120" s="1">
        <v>0.315</v>
      </c>
      <c r="F120" s="1">
        <v>2.368</v>
      </c>
      <c r="G120" s="1">
        <f t="shared" si="5"/>
        <v>-0.277394655023441</v>
      </c>
      <c r="H120" s="7"/>
      <c r="W120" s="8" t="s">
        <v>44</v>
      </c>
      <c r="X120" s="4">
        <f t="shared" si="6"/>
        <v>-0.0898383740359896</v>
      </c>
      <c r="Y120" s="4">
        <f t="shared" si="7"/>
        <v>-0.0895171632270169</v>
      </c>
      <c r="Z120" s="4">
        <f t="shared" si="9"/>
        <v>-0.0725214830508475</v>
      </c>
      <c r="AA120" s="4">
        <f t="shared" si="8"/>
        <v>-0.0255176347095871</v>
      </c>
    </row>
    <row r="121" s="4" customFormat="1" ht="15" customHeight="1" spans="1:27">
      <c r="A121" s="6" t="s">
        <v>43</v>
      </c>
      <c r="B121" s="1">
        <v>14</v>
      </c>
      <c r="C121" s="1">
        <v>0.9309</v>
      </c>
      <c r="D121" s="1">
        <v>19.393</v>
      </c>
      <c r="E121" s="1">
        <v>0.2888</v>
      </c>
      <c r="F121" s="1">
        <v>2.285</v>
      </c>
      <c r="G121" s="1">
        <f t="shared" si="5"/>
        <v>-0.412644008614016</v>
      </c>
      <c r="X121" s="4">
        <f t="shared" si="6"/>
        <v>-0.156325809768637</v>
      </c>
      <c r="Y121" s="4">
        <f t="shared" si="7"/>
        <v>-0.142183879924953</v>
      </c>
      <c r="Z121" s="4">
        <f t="shared" si="9"/>
        <v>-0.0920493644067797</v>
      </c>
      <c r="AA121" s="4">
        <f t="shared" si="8"/>
        <v>-0.0220849545136459</v>
      </c>
    </row>
    <row r="122" s="4" customFormat="1" ht="15" customHeight="1" spans="1:27">
      <c r="A122" s="6" t="s">
        <v>43</v>
      </c>
      <c r="B122" s="1">
        <v>14</v>
      </c>
      <c r="C122" s="1">
        <v>0.9042</v>
      </c>
      <c r="D122" s="1">
        <v>19.868</v>
      </c>
      <c r="E122" s="1">
        <v>0.2681</v>
      </c>
      <c r="F122" s="1">
        <v>2.539</v>
      </c>
      <c r="G122" s="1">
        <f t="shared" si="5"/>
        <v>-0.471874267533337</v>
      </c>
      <c r="W122" s="8"/>
      <c r="X122" s="4">
        <f t="shared" si="6"/>
        <v>-0.176754055269923</v>
      </c>
      <c r="Y122" s="4">
        <f t="shared" si="7"/>
        <v>-0.155052547842401</v>
      </c>
      <c r="Z122" s="4">
        <f t="shared" si="9"/>
        <v>-0.107477881355932</v>
      </c>
      <c r="AA122" s="4">
        <f t="shared" si="8"/>
        <v>-0.0325897830650805</v>
      </c>
    </row>
    <row r="123" s="4" customFormat="1" ht="15" customHeight="1" spans="1:27">
      <c r="A123" s="6" t="s">
        <v>43</v>
      </c>
      <c r="B123" s="1">
        <v>14</v>
      </c>
      <c r="C123" s="1">
        <v>0.9022</v>
      </c>
      <c r="D123" s="1">
        <v>19.298</v>
      </c>
      <c r="E123" s="1">
        <v>0.2925</v>
      </c>
      <c r="F123" s="1">
        <v>2.554</v>
      </c>
      <c r="G123" s="1">
        <f t="shared" si="5"/>
        <v>-0.440396164392318</v>
      </c>
      <c r="W123" s="8"/>
      <c r="X123" s="4">
        <f t="shared" si="6"/>
        <v>-0.17828426092545</v>
      </c>
      <c r="Y123" s="4">
        <f t="shared" si="7"/>
        <v>-0.139610146341463</v>
      </c>
      <c r="Z123" s="4">
        <f t="shared" si="9"/>
        <v>-0.0892916101694915</v>
      </c>
      <c r="AA123" s="4">
        <f t="shared" si="8"/>
        <v>-0.0332101469559132</v>
      </c>
    </row>
    <row r="124" s="4" customFormat="1" ht="15" customHeight="1" spans="1:27">
      <c r="A124" s="6" t="s">
        <v>43</v>
      </c>
      <c r="B124" s="1">
        <v>14</v>
      </c>
      <c r="C124" s="1">
        <v>0.9966</v>
      </c>
      <c r="D124" s="1">
        <v>18.105</v>
      </c>
      <c r="E124" s="1">
        <v>0.311</v>
      </c>
      <c r="F124" s="1">
        <v>2.423</v>
      </c>
      <c r="G124" s="1">
        <f t="shared" si="5"/>
        <v>-0.316643166196258</v>
      </c>
      <c r="W124" s="8"/>
      <c r="X124" s="4">
        <f t="shared" si="6"/>
        <v>-0.106058553984576</v>
      </c>
      <c r="Y124" s="4">
        <f t="shared" si="7"/>
        <v>-0.107289470919325</v>
      </c>
      <c r="Z124" s="4">
        <f t="shared" si="9"/>
        <v>-0.0755028389830509</v>
      </c>
      <c r="AA124" s="4">
        <f t="shared" si="8"/>
        <v>-0.0277923023093072</v>
      </c>
    </row>
    <row r="125" s="4" customFormat="1" ht="15" customHeight="1" spans="1:27">
      <c r="A125" s="6" t="s">
        <v>43</v>
      </c>
      <c r="B125" s="1">
        <v>14</v>
      </c>
      <c r="C125" s="1">
        <v>0.9041</v>
      </c>
      <c r="D125" s="1">
        <v>17.057</v>
      </c>
      <c r="E125" s="1">
        <v>0.3082</v>
      </c>
      <c r="F125" s="1">
        <v>2.107</v>
      </c>
      <c r="G125" s="1">
        <f t="shared" si="5"/>
        <v>-0.348040782400954</v>
      </c>
      <c r="W125" s="8"/>
      <c r="X125" s="4">
        <f t="shared" si="6"/>
        <v>-0.176830565552699</v>
      </c>
      <c r="Y125" s="4">
        <f t="shared" si="7"/>
        <v>-0.0788971257035647</v>
      </c>
      <c r="Z125" s="4">
        <f t="shared" si="9"/>
        <v>-0.0775897881355932</v>
      </c>
      <c r="AA125" s="4">
        <f t="shared" si="8"/>
        <v>-0.0147233030090973</v>
      </c>
    </row>
    <row r="126" s="4" customFormat="1" ht="15" customHeight="1" spans="1:27">
      <c r="A126" s="6" t="s">
        <v>43</v>
      </c>
      <c r="B126" s="1">
        <v>14</v>
      </c>
      <c r="C126" s="1">
        <v>0.9229</v>
      </c>
      <c r="D126" s="1">
        <v>18.025</v>
      </c>
      <c r="E126" s="1">
        <v>0.3062</v>
      </c>
      <c r="F126" s="1">
        <v>2.23</v>
      </c>
      <c r="G126" s="1">
        <f t="shared" si="5"/>
        <v>-0.366459501729068</v>
      </c>
      <c r="W126" s="8"/>
      <c r="X126" s="4">
        <f t="shared" si="6"/>
        <v>-0.162446632390745</v>
      </c>
      <c r="Y126" s="4">
        <f t="shared" si="7"/>
        <v>-0.105122116322702</v>
      </c>
      <c r="Z126" s="4">
        <f t="shared" si="9"/>
        <v>-0.0790804661016949</v>
      </c>
      <c r="AA126" s="4">
        <f t="shared" si="8"/>
        <v>-0.0198102869139258</v>
      </c>
    </row>
    <row r="127" s="4" customFormat="1" ht="15" customHeight="1" spans="1:27">
      <c r="A127" s="6" t="s">
        <v>43</v>
      </c>
      <c r="B127" s="1">
        <v>14</v>
      </c>
      <c r="C127" s="1">
        <v>1.0036</v>
      </c>
      <c r="D127" s="1">
        <v>18.776</v>
      </c>
      <c r="E127" s="1">
        <v>0.3149</v>
      </c>
      <c r="F127" s="1">
        <v>2.499</v>
      </c>
      <c r="G127" s="1">
        <f t="shared" si="5"/>
        <v>-0.329702488094076</v>
      </c>
      <c r="W127" s="8"/>
      <c r="X127" s="4">
        <f t="shared" si="6"/>
        <v>-0.100702834190231</v>
      </c>
      <c r="Y127" s="4">
        <f t="shared" si="7"/>
        <v>-0.125468157598499</v>
      </c>
      <c r="Z127" s="4">
        <f t="shared" si="9"/>
        <v>-0.0725960169491525</v>
      </c>
      <c r="AA127" s="4">
        <f t="shared" si="8"/>
        <v>-0.0309354793561931</v>
      </c>
    </row>
    <row r="128" s="4" customFormat="1" ht="15" customHeight="1" spans="1:27">
      <c r="A128" s="6" t="s">
        <v>45</v>
      </c>
      <c r="B128" s="1">
        <v>15</v>
      </c>
      <c r="C128" s="1">
        <v>1.1065</v>
      </c>
      <c r="D128" s="1">
        <v>20.053</v>
      </c>
      <c r="E128" s="1">
        <v>0.3485</v>
      </c>
      <c r="F128" s="1">
        <v>2.478</v>
      </c>
      <c r="G128" s="1">
        <f t="shared" si="5"/>
        <v>-0.259657905588131</v>
      </c>
      <c r="W128" s="8"/>
      <c r="X128" s="4">
        <f t="shared" si="6"/>
        <v>-0.0219737532133675</v>
      </c>
      <c r="Y128" s="4">
        <f t="shared" si="7"/>
        <v>-0.160064555347092</v>
      </c>
      <c r="Z128" s="4">
        <f t="shared" si="9"/>
        <v>-0.0475526271186441</v>
      </c>
      <c r="AA128" s="4">
        <f t="shared" si="8"/>
        <v>-0.0300669699090273</v>
      </c>
    </row>
    <row r="129" s="4" customFormat="1" ht="15" customHeight="1" spans="1:27">
      <c r="A129" s="6" t="s">
        <v>45</v>
      </c>
      <c r="B129" s="1">
        <v>15</v>
      </c>
      <c r="C129" s="1">
        <v>1.193</v>
      </c>
      <c r="D129" s="1">
        <v>19.516</v>
      </c>
      <c r="E129" s="1">
        <v>0.282</v>
      </c>
      <c r="F129" s="1">
        <v>2.464</v>
      </c>
      <c r="G129" s="1">
        <f t="shared" si="5"/>
        <v>-0.227914179331528</v>
      </c>
      <c r="H129" s="7"/>
      <c r="W129" s="8" t="s">
        <v>46</v>
      </c>
      <c r="X129" s="4">
        <f t="shared" si="6"/>
        <v>0.0442076413881749</v>
      </c>
      <c r="Y129" s="4">
        <f t="shared" si="7"/>
        <v>-0.145516187617261</v>
      </c>
      <c r="Z129" s="4">
        <f t="shared" si="9"/>
        <v>-0.0971176694915254</v>
      </c>
      <c r="AA129" s="4">
        <f t="shared" si="8"/>
        <v>-0.0294879636109167</v>
      </c>
    </row>
    <row r="130" s="4" customFormat="1" ht="15" customHeight="1" spans="1:27">
      <c r="A130" s="6" t="s">
        <v>45</v>
      </c>
      <c r="B130" s="1">
        <v>15</v>
      </c>
      <c r="C130" s="1">
        <v>1.0935</v>
      </c>
      <c r="D130" s="1">
        <v>19.414</v>
      </c>
      <c r="E130" s="1">
        <v>0.2978</v>
      </c>
      <c r="F130" s="1">
        <v>2.359</v>
      </c>
      <c r="G130" s="1">
        <f t="shared" ref="G130:G193" si="10">SUM(X130,Y130,Z130,AA130)</f>
        <v>-0.285159630415269</v>
      </c>
      <c r="X130" s="4">
        <f t="shared" ref="X130:X193" si="11">(C130-S$2)/N$2*I$2</f>
        <v>-0.031920089974293</v>
      </c>
      <c r="Y130" s="4">
        <f t="shared" ref="Y130:Y193" si="12">(T$2-D130)/O$2*J$2</f>
        <v>-0.142752810506567</v>
      </c>
      <c r="Z130" s="4">
        <f t="shared" si="9"/>
        <v>-0.085341313559322</v>
      </c>
      <c r="AA130" s="4">
        <f t="shared" ref="AA130:AA193" si="13">(V$2-F130)/Q$2*L$2</f>
        <v>-0.0251454163750875</v>
      </c>
    </row>
    <row r="131" s="4" customFormat="1" ht="15" customHeight="1" spans="1:27">
      <c r="A131" s="6" t="s">
        <v>45</v>
      </c>
      <c r="B131" s="1">
        <v>15</v>
      </c>
      <c r="C131" s="1">
        <v>1.1473</v>
      </c>
      <c r="D131" s="1">
        <v>17.64</v>
      </c>
      <c r="E131" s="1">
        <v>0.3406</v>
      </c>
      <c r="F131" s="1">
        <v>2.175</v>
      </c>
      <c r="G131" s="1">
        <f t="shared" si="10"/>
        <v>-0.156425704566022</v>
      </c>
      <c r="W131" s="8"/>
      <c r="X131" s="4">
        <f t="shared" si="11"/>
        <v>0.0092424421593831</v>
      </c>
      <c r="Y131" s="4">
        <f t="shared" si="12"/>
        <v>-0.094691722326454</v>
      </c>
      <c r="Z131" s="4">
        <f t="shared" si="9"/>
        <v>-0.0534408050847458</v>
      </c>
      <c r="AA131" s="4">
        <f t="shared" si="13"/>
        <v>-0.0175356193142057</v>
      </c>
    </row>
    <row r="132" s="4" customFormat="1" ht="15" customHeight="1" spans="1:27">
      <c r="A132" s="6" t="s">
        <v>45</v>
      </c>
      <c r="B132" s="1">
        <v>15</v>
      </c>
      <c r="C132" s="1">
        <v>1.1738</v>
      </c>
      <c r="D132" s="1">
        <v>17.689</v>
      </c>
      <c r="E132" s="1">
        <v>0.3329</v>
      </c>
      <c r="F132" s="1">
        <v>2.301</v>
      </c>
      <c r="G132" s="1">
        <f t="shared" si="10"/>
        <v>-0.148428151173208</v>
      </c>
      <c r="W132" s="8"/>
      <c r="X132" s="4">
        <f t="shared" si="11"/>
        <v>0.0295176670951157</v>
      </c>
      <c r="Y132" s="4">
        <f t="shared" si="12"/>
        <v>-0.0960192270168855</v>
      </c>
      <c r="Z132" s="4">
        <f t="shared" si="9"/>
        <v>-0.0591799152542373</v>
      </c>
      <c r="AA132" s="4">
        <f t="shared" si="13"/>
        <v>-0.0227466759972009</v>
      </c>
    </row>
    <row r="133" s="4" customFormat="1" ht="15" customHeight="1" spans="1:27">
      <c r="A133" s="6" t="s">
        <v>45</v>
      </c>
      <c r="B133" s="1">
        <v>15</v>
      </c>
      <c r="C133" s="1">
        <v>1.1886</v>
      </c>
      <c r="D133" s="1">
        <v>18.212</v>
      </c>
      <c r="E133" s="1">
        <v>0.3038</v>
      </c>
      <c r="F133" s="1">
        <v>2.342</v>
      </c>
      <c r="G133" s="1">
        <f t="shared" si="10"/>
        <v>-0.174658735706119</v>
      </c>
      <c r="W133" s="8"/>
      <c r="X133" s="4">
        <f t="shared" si="11"/>
        <v>0.0408411889460156</v>
      </c>
      <c r="Y133" s="4">
        <f t="shared" si="12"/>
        <v>-0.110188307692308</v>
      </c>
      <c r="Z133" s="4">
        <f t="shared" si="9"/>
        <v>-0.0808692796610169</v>
      </c>
      <c r="AA133" s="4">
        <f t="shared" si="13"/>
        <v>-0.0244423372988104</v>
      </c>
    </row>
    <row r="134" s="4" customFormat="1" ht="15" customHeight="1" spans="1:27">
      <c r="A134" s="6" t="s">
        <v>45</v>
      </c>
      <c r="B134" s="1">
        <v>15</v>
      </c>
      <c r="C134" s="1">
        <v>1.1903</v>
      </c>
      <c r="D134" s="1">
        <v>17.166</v>
      </c>
      <c r="E134" s="1">
        <v>0.33</v>
      </c>
      <c r="F134" s="1">
        <v>2.197</v>
      </c>
      <c r="G134" s="1">
        <f t="shared" si="10"/>
        <v>-0.119495167247429</v>
      </c>
      <c r="W134" s="8"/>
      <c r="X134" s="4">
        <f t="shared" si="11"/>
        <v>0.0421418637532134</v>
      </c>
      <c r="Y134" s="4">
        <f t="shared" si="12"/>
        <v>-0.0818501463414634</v>
      </c>
      <c r="Z134" s="4">
        <f t="shared" si="9"/>
        <v>-0.0613413983050847</v>
      </c>
      <c r="AA134" s="4">
        <f t="shared" si="13"/>
        <v>-0.0184454863540938</v>
      </c>
    </row>
    <row r="135" s="4" customFormat="1" ht="15" customHeight="1" spans="1:27">
      <c r="A135" s="6" t="s">
        <v>45</v>
      </c>
      <c r="B135" s="1">
        <v>15</v>
      </c>
      <c r="C135" s="1">
        <v>1.0789</v>
      </c>
      <c r="D135" s="1">
        <v>17.868</v>
      </c>
      <c r="E135" s="1">
        <v>0.2904</v>
      </c>
      <c r="F135" s="1">
        <v>2.13</v>
      </c>
      <c r="G135" s="1">
        <f t="shared" si="10"/>
        <v>-0.250490623862075</v>
      </c>
      <c r="W135" s="8"/>
      <c r="X135" s="4">
        <f t="shared" si="11"/>
        <v>-0.04309059125964</v>
      </c>
      <c r="Y135" s="4">
        <f t="shared" si="12"/>
        <v>-0.100868682926829</v>
      </c>
      <c r="Z135" s="4">
        <f t="shared" si="9"/>
        <v>-0.0908568220338983</v>
      </c>
      <c r="AA135" s="4">
        <f t="shared" si="13"/>
        <v>-0.0156745276417075</v>
      </c>
    </row>
    <row r="136" s="4" customFormat="1" ht="15" customHeight="1" spans="1:27">
      <c r="A136" s="6" t="s">
        <v>45</v>
      </c>
      <c r="B136" s="1">
        <v>15</v>
      </c>
      <c r="C136" s="1">
        <v>1.0795</v>
      </c>
      <c r="D136" s="1">
        <v>18.114</v>
      </c>
      <c r="E136" s="1">
        <v>0.3044</v>
      </c>
      <c r="F136" s="1">
        <v>2.435</v>
      </c>
      <c r="G136" s="1">
        <f t="shared" si="10"/>
        <v>-0.258875497567587</v>
      </c>
      <c r="W136" s="8"/>
      <c r="X136" s="4">
        <f t="shared" si="11"/>
        <v>-0.042631529562982</v>
      </c>
      <c r="Y136" s="4">
        <f t="shared" si="12"/>
        <v>-0.107533298311445</v>
      </c>
      <c r="Z136" s="4">
        <f t="shared" si="9"/>
        <v>-0.0804220762711864</v>
      </c>
      <c r="AA136" s="4">
        <f t="shared" si="13"/>
        <v>-0.0282885934219734</v>
      </c>
    </row>
    <row r="137" s="4" customFormat="1" ht="15" customHeight="1" spans="1:27">
      <c r="A137" s="6" t="s">
        <v>47</v>
      </c>
      <c r="B137" s="1">
        <v>16</v>
      </c>
      <c r="C137" s="1">
        <v>0.9215</v>
      </c>
      <c r="D137" s="1">
        <v>14.997</v>
      </c>
      <c r="E137" s="1">
        <v>0.3087</v>
      </c>
      <c r="F137" s="1">
        <v>1.91</v>
      </c>
      <c r="G137" s="1">
        <f t="shared" si="10"/>
        <v>-0.270398497077035</v>
      </c>
      <c r="W137" s="8"/>
      <c r="X137" s="4">
        <f t="shared" si="11"/>
        <v>-0.163517776349614</v>
      </c>
      <c r="Y137" s="4">
        <f t="shared" si="12"/>
        <v>-0.0230877448405253</v>
      </c>
      <c r="Z137" s="4">
        <f t="shared" si="9"/>
        <v>-0.0772171186440678</v>
      </c>
      <c r="AA137" s="4">
        <f t="shared" si="13"/>
        <v>-0.00657585724282715</v>
      </c>
    </row>
    <row r="138" s="4" customFormat="1" ht="15" customHeight="1" spans="1:27">
      <c r="A138" s="6" t="s">
        <v>47</v>
      </c>
      <c r="B138" s="1">
        <v>16</v>
      </c>
      <c r="C138" s="1">
        <v>1.019</v>
      </c>
      <c r="D138" s="1">
        <v>19.09</v>
      </c>
      <c r="E138" s="1">
        <v>0.3063</v>
      </c>
      <c r="F138" s="1">
        <v>2.365</v>
      </c>
      <c r="G138" s="1">
        <f t="shared" si="10"/>
        <v>-0.327294769167728</v>
      </c>
      <c r="H138" s="11"/>
      <c r="W138" s="8" t="s">
        <v>48</v>
      </c>
      <c r="X138" s="4">
        <f t="shared" si="11"/>
        <v>-0.0889202506426735</v>
      </c>
      <c r="Y138" s="4">
        <f t="shared" si="12"/>
        <v>-0.133975024390244</v>
      </c>
      <c r="Z138" s="4">
        <f t="shared" si="9"/>
        <v>-0.0790059322033898</v>
      </c>
      <c r="AA138" s="4">
        <f t="shared" si="13"/>
        <v>-0.0253935619314206</v>
      </c>
    </row>
    <row r="139" s="4" customFormat="1" ht="15" customHeight="1" spans="1:27">
      <c r="A139" s="6" t="s">
        <v>47</v>
      </c>
      <c r="B139" s="1">
        <v>16</v>
      </c>
      <c r="C139" s="1">
        <v>0.9024</v>
      </c>
      <c r="D139" s="1">
        <v>15.983</v>
      </c>
      <c r="E139" s="1">
        <v>0.2953</v>
      </c>
      <c r="F139" s="1">
        <v>1.983</v>
      </c>
      <c r="G139" s="1">
        <f t="shared" si="10"/>
        <v>-0.324731253132295</v>
      </c>
      <c r="X139" s="4">
        <f t="shared" si="11"/>
        <v>-0.178131240359897</v>
      </c>
      <c r="Y139" s="4">
        <f t="shared" si="12"/>
        <v>-0.0498003902439025</v>
      </c>
      <c r="Z139" s="4">
        <f t="shared" si="9"/>
        <v>-0.0872046610169492</v>
      </c>
      <c r="AA139" s="4">
        <f t="shared" si="13"/>
        <v>-0.00959496151154654</v>
      </c>
    </row>
    <row r="140" s="4" customFormat="1" ht="15" customHeight="1" spans="1:27">
      <c r="A140" s="6" t="s">
        <v>47</v>
      </c>
      <c r="B140" s="1">
        <v>16</v>
      </c>
      <c r="C140" s="1">
        <v>0.9579</v>
      </c>
      <c r="D140" s="1">
        <v>14.109</v>
      </c>
      <c r="E140" s="1">
        <v>0.3068</v>
      </c>
      <c r="F140" s="1">
        <v>1.795</v>
      </c>
      <c r="G140" s="1">
        <f t="shared" si="10"/>
        <v>-0.215151139028675</v>
      </c>
      <c r="W140" s="8"/>
      <c r="X140" s="4">
        <f t="shared" si="11"/>
        <v>-0.135668033419023</v>
      </c>
      <c r="Y140" s="4">
        <f t="shared" si="12"/>
        <v>0.000969891181988744</v>
      </c>
      <c r="Z140" s="4">
        <f t="shared" si="9"/>
        <v>-0.0786332627118644</v>
      </c>
      <c r="AA140" s="4">
        <f t="shared" si="13"/>
        <v>-0.00181973407977607</v>
      </c>
    </row>
    <row r="141" s="4" customFormat="1" ht="15" customHeight="1" spans="1:27">
      <c r="A141" s="6" t="s">
        <v>47</v>
      </c>
      <c r="B141" s="1">
        <v>16</v>
      </c>
      <c r="C141" s="1">
        <v>0.9277</v>
      </c>
      <c r="D141" s="1">
        <v>16.189</v>
      </c>
      <c r="E141" s="1">
        <v>0.2934</v>
      </c>
      <c r="F141" s="1">
        <v>2.056</v>
      </c>
      <c r="G141" s="1">
        <f t="shared" si="10"/>
        <v>-0.315390338012699</v>
      </c>
      <c r="W141" s="8"/>
      <c r="X141" s="4">
        <f t="shared" si="11"/>
        <v>-0.158774138817481</v>
      </c>
      <c r="Y141" s="4">
        <f t="shared" si="12"/>
        <v>-0.0553813283302064</v>
      </c>
      <c r="Z141" s="4">
        <f t="shared" si="9"/>
        <v>-0.0886208050847458</v>
      </c>
      <c r="AA141" s="4">
        <f t="shared" si="13"/>
        <v>-0.0126140657802659</v>
      </c>
    </row>
    <row r="142" s="4" customFormat="1" ht="15" customHeight="1" spans="1:27">
      <c r="A142" s="6" t="s">
        <v>47</v>
      </c>
      <c r="B142" s="1">
        <v>16</v>
      </c>
      <c r="C142" s="1">
        <v>0.9328</v>
      </c>
      <c r="D142" s="1">
        <v>15.401</v>
      </c>
      <c r="E142" s="1">
        <v>0.3195</v>
      </c>
      <c r="F142" s="1">
        <v>1.975</v>
      </c>
      <c r="G142" s="1">
        <f t="shared" si="10"/>
        <v>-0.267336558346245</v>
      </c>
      <c r="W142" s="8"/>
      <c r="X142" s="4">
        <f t="shared" si="11"/>
        <v>-0.154872114395887</v>
      </c>
      <c r="Y142" s="4">
        <f t="shared" si="12"/>
        <v>-0.0340328855534709</v>
      </c>
      <c r="Z142" s="4">
        <f t="shared" si="9"/>
        <v>-0.0691674576271187</v>
      </c>
      <c r="AA142" s="4">
        <f t="shared" si="13"/>
        <v>-0.00926410076976908</v>
      </c>
    </row>
    <row r="143" s="4" customFormat="1" ht="15" customHeight="1" spans="1:27">
      <c r="A143" s="6" t="s">
        <v>47</v>
      </c>
      <c r="B143" s="1">
        <v>16</v>
      </c>
      <c r="C143" s="1">
        <v>0.8849</v>
      </c>
      <c r="D143" s="1">
        <v>18.883</v>
      </c>
      <c r="E143" s="1">
        <v>0.3132</v>
      </c>
      <c r="F143" s="1">
        <v>2.451</v>
      </c>
      <c r="G143" s="1">
        <f t="shared" si="10"/>
        <v>-0.422700942343108</v>
      </c>
      <c r="W143" s="8"/>
      <c r="X143" s="4">
        <f t="shared" si="11"/>
        <v>-0.191520539845758</v>
      </c>
      <c r="Y143" s="4">
        <f t="shared" si="12"/>
        <v>-0.128366994371482</v>
      </c>
      <c r="Z143" s="4">
        <f t="shared" si="9"/>
        <v>-0.073863093220339</v>
      </c>
      <c r="AA143" s="4">
        <f t="shared" si="13"/>
        <v>-0.0289503149055283</v>
      </c>
    </row>
    <row r="144" s="4" customFormat="1" ht="15" customHeight="1" spans="1:27">
      <c r="A144" s="6" t="s">
        <v>47</v>
      </c>
      <c r="B144" s="1">
        <v>16</v>
      </c>
      <c r="C144" s="1">
        <v>0.8926</v>
      </c>
      <c r="D144" s="1">
        <v>13.673</v>
      </c>
      <c r="E144" s="1">
        <v>0.3065</v>
      </c>
      <c r="F144" s="1">
        <v>1.691</v>
      </c>
      <c r="G144" s="1">
        <f t="shared" si="10"/>
        <v>-0.249222683181845</v>
      </c>
      <c r="W144" s="8"/>
      <c r="X144" s="4">
        <f t="shared" si="11"/>
        <v>-0.185629248071979</v>
      </c>
      <c r="Y144" s="4">
        <f t="shared" si="12"/>
        <v>0.0127819737335835</v>
      </c>
      <c r="Z144" s="4">
        <f t="shared" si="9"/>
        <v>-0.0788568644067797</v>
      </c>
      <c r="AA144" s="4">
        <f t="shared" si="13"/>
        <v>0.00248145556333099</v>
      </c>
    </row>
    <row r="145" s="4" customFormat="1" ht="15" customHeight="1" spans="1:27">
      <c r="A145" s="6" t="s">
        <v>47</v>
      </c>
      <c r="B145" s="1">
        <v>16</v>
      </c>
      <c r="C145" s="1">
        <v>0.9246</v>
      </c>
      <c r="D145" s="1">
        <v>18.475</v>
      </c>
      <c r="E145" s="1">
        <v>0.2692</v>
      </c>
      <c r="F145" s="1">
        <v>2.339</v>
      </c>
      <c r="G145" s="1">
        <f t="shared" si="10"/>
        <v>-0.409435716507473</v>
      </c>
      <c r="W145" s="8"/>
      <c r="X145" s="4">
        <f t="shared" si="11"/>
        <v>-0.161145957583547</v>
      </c>
      <c r="Y145" s="4">
        <f t="shared" si="12"/>
        <v>-0.117313485928705</v>
      </c>
      <c r="Z145" s="4">
        <f t="shared" si="9"/>
        <v>-0.106658008474576</v>
      </c>
      <c r="AA145" s="4">
        <f t="shared" si="13"/>
        <v>-0.0243182645206438</v>
      </c>
    </row>
    <row r="146" s="4" customFormat="1" ht="15" customHeight="1" spans="1:27">
      <c r="A146" s="6" t="s">
        <v>49</v>
      </c>
      <c r="B146" s="1">
        <v>17</v>
      </c>
      <c r="C146" s="1">
        <v>1.1339</v>
      </c>
      <c r="D146" s="1">
        <v>15.995</v>
      </c>
      <c r="E146" s="1">
        <v>0.3151</v>
      </c>
      <c r="F146" s="1">
        <v>2.084</v>
      </c>
      <c r="G146" s="1">
        <f t="shared" si="10"/>
        <v>-0.137354456695073</v>
      </c>
      <c r="W146" s="8"/>
      <c r="X146" s="4">
        <f t="shared" si="11"/>
        <v>-0.00100993573264781</v>
      </c>
      <c r="Y146" s="4">
        <f t="shared" si="12"/>
        <v>-0.0501254934333958</v>
      </c>
      <c r="Z146" s="4">
        <f t="shared" si="9"/>
        <v>-0.0724469491525424</v>
      </c>
      <c r="AA146" s="4">
        <f t="shared" si="13"/>
        <v>-0.0137720783764871</v>
      </c>
    </row>
    <row r="147" s="4" customFormat="1" ht="15" customHeight="1" spans="1:27">
      <c r="A147" s="6" t="s">
        <v>49</v>
      </c>
      <c r="B147" s="1">
        <v>17</v>
      </c>
      <c r="C147" s="1">
        <v>1.1732</v>
      </c>
      <c r="D147" s="1">
        <v>17.193</v>
      </c>
      <c r="E147" s="1">
        <v>0.3488</v>
      </c>
      <c r="F147" s="1">
        <v>2.208</v>
      </c>
      <c r="G147" s="1">
        <f t="shared" si="10"/>
        <v>-0.119752468417133</v>
      </c>
      <c r="H147" s="11"/>
      <c r="W147" s="8" t="s">
        <v>50</v>
      </c>
      <c r="X147" s="4">
        <f t="shared" si="11"/>
        <v>0.0290586053984577</v>
      </c>
      <c r="Y147" s="4">
        <f t="shared" si="12"/>
        <v>-0.0825816285178237</v>
      </c>
      <c r="Z147" s="4">
        <f t="shared" ref="Z147:Z210" si="14">(E147-U$2)/P$2*K$2</f>
        <v>-0.0473290254237288</v>
      </c>
      <c r="AA147" s="4">
        <f t="shared" si="13"/>
        <v>-0.0189004198740378</v>
      </c>
    </row>
    <row r="148" s="4" customFormat="1" ht="15" customHeight="1" spans="1:27">
      <c r="A148" s="6" t="s">
        <v>49</v>
      </c>
      <c r="B148" s="1">
        <v>17</v>
      </c>
      <c r="C148" s="1">
        <v>1.247</v>
      </c>
      <c r="D148" s="1">
        <v>17.033</v>
      </c>
      <c r="E148" s="1">
        <v>0.3232</v>
      </c>
      <c r="F148" s="1">
        <v>1.996</v>
      </c>
      <c r="G148" s="1">
        <f t="shared" si="10"/>
        <v>-0.0692660388439396</v>
      </c>
      <c r="X148" s="4">
        <f t="shared" si="11"/>
        <v>0.0855231940874038</v>
      </c>
      <c r="Y148" s="4">
        <f t="shared" si="12"/>
        <v>-0.0782469193245779</v>
      </c>
      <c r="Z148" s="4">
        <f t="shared" si="14"/>
        <v>-0.0664097033898305</v>
      </c>
      <c r="AA148" s="4">
        <f t="shared" si="13"/>
        <v>-0.0101326102169349</v>
      </c>
    </row>
    <row r="149" s="4" customFormat="1" ht="15" customHeight="1" spans="1:27">
      <c r="A149" s="6" t="s">
        <v>49</v>
      </c>
      <c r="B149" s="1">
        <v>17</v>
      </c>
      <c r="C149" s="1">
        <v>1.1776</v>
      </c>
      <c r="D149" s="1">
        <v>15.665</v>
      </c>
      <c r="E149" s="1">
        <v>0.3969</v>
      </c>
      <c r="F149" s="1">
        <v>2.034</v>
      </c>
      <c r="G149" s="1">
        <f t="shared" si="10"/>
        <v>-0.0319425169610704</v>
      </c>
      <c r="W149" s="8"/>
      <c r="X149" s="4">
        <f t="shared" si="11"/>
        <v>0.032425057840617</v>
      </c>
      <c r="Y149" s="4">
        <f t="shared" si="12"/>
        <v>-0.0411851557223264</v>
      </c>
      <c r="Z149" s="4">
        <f t="shared" si="14"/>
        <v>-0.0114782203389831</v>
      </c>
      <c r="AA149" s="4">
        <f t="shared" si="13"/>
        <v>-0.0117041987403779</v>
      </c>
    </row>
    <row r="150" s="4" customFormat="1" ht="15" customHeight="1" spans="1:27">
      <c r="A150" s="6" t="s">
        <v>49</v>
      </c>
      <c r="B150" s="1">
        <v>17</v>
      </c>
      <c r="C150" s="1">
        <v>1.0054</v>
      </c>
      <c r="D150" s="1">
        <v>18.376</v>
      </c>
      <c r="E150" s="1">
        <v>0.29</v>
      </c>
      <c r="F150" s="1">
        <v>2.249</v>
      </c>
      <c r="G150" s="1">
        <f t="shared" si="10"/>
        <v>-0.325708072518408</v>
      </c>
      <c r="W150" s="8"/>
      <c r="X150" s="4">
        <f t="shared" si="11"/>
        <v>-0.0993256491002569</v>
      </c>
      <c r="Y150" s="4">
        <f t="shared" si="12"/>
        <v>-0.114631384615385</v>
      </c>
      <c r="Z150" s="4">
        <f t="shared" si="14"/>
        <v>-0.0911549576271187</v>
      </c>
      <c r="AA150" s="4">
        <f t="shared" si="13"/>
        <v>-0.0205960811756473</v>
      </c>
    </row>
    <row r="151" s="4" customFormat="1" ht="15" customHeight="1" spans="1:27">
      <c r="A151" s="6" t="s">
        <v>49</v>
      </c>
      <c r="B151" s="1">
        <v>17</v>
      </c>
      <c r="C151" s="1">
        <v>1.0494</v>
      </c>
      <c r="D151" s="1">
        <v>16.242</v>
      </c>
      <c r="E151" s="1">
        <v>0.3312</v>
      </c>
      <c r="F151" s="1">
        <v>2.142</v>
      </c>
      <c r="G151" s="1">
        <f t="shared" si="10"/>
        <v>-0.19909613570893</v>
      </c>
      <c r="W151" s="8"/>
      <c r="X151" s="4">
        <f t="shared" si="11"/>
        <v>-0.0656611246786631</v>
      </c>
      <c r="Y151" s="4">
        <f t="shared" si="12"/>
        <v>-0.0568172007504691</v>
      </c>
      <c r="Z151" s="4">
        <f t="shared" si="14"/>
        <v>-0.0604469915254237</v>
      </c>
      <c r="AA151" s="4">
        <f t="shared" si="13"/>
        <v>-0.0161708187543737</v>
      </c>
    </row>
    <row r="152" s="4" customFormat="1" ht="15" customHeight="1" spans="1:27">
      <c r="A152" s="6" t="s">
        <v>49</v>
      </c>
      <c r="B152" s="1">
        <v>17</v>
      </c>
      <c r="C152" s="1">
        <v>1.0183</v>
      </c>
      <c r="D152" s="1">
        <v>17.444</v>
      </c>
      <c r="E152" s="1">
        <v>0.3414</v>
      </c>
      <c r="F152" s="1">
        <v>1.961</v>
      </c>
      <c r="G152" s="1">
        <f t="shared" si="10"/>
        <v>-0.240367154556799</v>
      </c>
      <c r="W152" s="8"/>
      <c r="X152" s="4">
        <f t="shared" si="11"/>
        <v>-0.0894558226221079</v>
      </c>
      <c r="Y152" s="4">
        <f t="shared" si="12"/>
        <v>-0.0893817035647279</v>
      </c>
      <c r="Z152" s="4">
        <f t="shared" si="14"/>
        <v>-0.0528445338983051</v>
      </c>
      <c r="AA152" s="4">
        <f t="shared" si="13"/>
        <v>-0.00868509447165851</v>
      </c>
    </row>
    <row r="153" s="4" customFormat="1" ht="15" customHeight="1" spans="1:27">
      <c r="A153" s="6" t="s">
        <v>49</v>
      </c>
      <c r="B153" s="1">
        <v>17</v>
      </c>
      <c r="C153" s="1">
        <v>1.0052</v>
      </c>
      <c r="D153" s="1">
        <v>17.377</v>
      </c>
      <c r="E153" s="1">
        <v>0.3174</v>
      </c>
      <c r="F153" s="1">
        <v>2.237</v>
      </c>
      <c r="G153" s="1">
        <f t="shared" si="10"/>
        <v>-0.277877673310372</v>
      </c>
      <c r="W153" s="8"/>
      <c r="X153" s="4">
        <f t="shared" si="11"/>
        <v>-0.0994786696658096</v>
      </c>
      <c r="Y153" s="4">
        <f t="shared" si="12"/>
        <v>-0.0875665440900563</v>
      </c>
      <c r="Z153" s="4">
        <f t="shared" si="14"/>
        <v>-0.0707326694915254</v>
      </c>
      <c r="AA153" s="4">
        <f t="shared" si="13"/>
        <v>-0.0200997900629811</v>
      </c>
    </row>
    <row r="154" s="4" customFormat="1" ht="15" customHeight="1" spans="1:27">
      <c r="A154" s="6" t="s">
        <v>49</v>
      </c>
      <c r="B154" s="1">
        <v>17</v>
      </c>
      <c r="C154" s="1">
        <v>1.1358</v>
      </c>
      <c r="D154" s="1">
        <v>17.052</v>
      </c>
      <c r="E154" s="1">
        <v>0.3462</v>
      </c>
      <c r="F154" s="1">
        <v>2.099</v>
      </c>
      <c r="G154" s="1">
        <f t="shared" si="10"/>
        <v>-0.141977255448154</v>
      </c>
      <c r="W154" s="8"/>
      <c r="X154" s="4">
        <f t="shared" si="11"/>
        <v>0.000443759640102847</v>
      </c>
      <c r="Y154" s="4">
        <f t="shared" si="12"/>
        <v>-0.0787616660412758</v>
      </c>
      <c r="Z154" s="4">
        <f t="shared" si="14"/>
        <v>-0.049266906779661</v>
      </c>
      <c r="AA154" s="4">
        <f t="shared" si="13"/>
        <v>-0.0143924422673198</v>
      </c>
    </row>
    <row r="155" s="4" customFormat="1" ht="15" customHeight="1" spans="1:27">
      <c r="A155" s="6" t="s">
        <v>51</v>
      </c>
      <c r="B155" s="1">
        <v>18</v>
      </c>
      <c r="C155" s="1">
        <v>1.0587</v>
      </c>
      <c r="D155" s="1">
        <v>15.189</v>
      </c>
      <c r="E155" s="1">
        <v>0.3605</v>
      </c>
      <c r="F155" s="1">
        <v>2</v>
      </c>
      <c r="G155" s="1">
        <f t="shared" si="10"/>
        <v>-0.13574166416274</v>
      </c>
      <c r="W155" s="8"/>
      <c r="X155" s="4">
        <f t="shared" si="11"/>
        <v>-0.0585456683804627</v>
      </c>
      <c r="Y155" s="4">
        <f t="shared" si="12"/>
        <v>-0.0282893958724203</v>
      </c>
      <c r="Z155" s="4">
        <f t="shared" si="14"/>
        <v>-0.0386085593220339</v>
      </c>
      <c r="AA155" s="4">
        <f t="shared" si="13"/>
        <v>-0.0102980405878237</v>
      </c>
    </row>
    <row r="156" s="4" customFormat="1" ht="15" customHeight="1" spans="1:27">
      <c r="A156" s="6" t="s">
        <v>51</v>
      </c>
      <c r="B156" s="1">
        <v>18</v>
      </c>
      <c r="C156" s="1">
        <v>1.1208</v>
      </c>
      <c r="D156" s="1">
        <v>14.585</v>
      </c>
      <c r="E156" s="1">
        <v>0.3884</v>
      </c>
      <c r="F156" s="1">
        <v>1.948</v>
      </c>
      <c r="G156" s="1">
        <f t="shared" si="10"/>
        <v>-0.0489196989054523</v>
      </c>
      <c r="W156" s="8"/>
      <c r="X156" s="4">
        <f t="shared" si="11"/>
        <v>-0.0110327827763495</v>
      </c>
      <c r="Y156" s="4">
        <f t="shared" si="12"/>
        <v>-0.0119258686679175</v>
      </c>
      <c r="Z156" s="4">
        <f t="shared" si="14"/>
        <v>-0.0178136016949152</v>
      </c>
      <c r="AA156" s="4">
        <f t="shared" si="13"/>
        <v>-0.00814744576627012</v>
      </c>
    </row>
    <row r="157" s="4" customFormat="1" ht="15" customHeight="1" spans="1:27">
      <c r="A157" s="6" t="s">
        <v>51</v>
      </c>
      <c r="B157" s="1">
        <v>18</v>
      </c>
      <c r="C157" s="1">
        <v>1.1025</v>
      </c>
      <c r="D157" s="1">
        <v>14.507</v>
      </c>
      <c r="E157" s="1">
        <v>0.3439</v>
      </c>
      <c r="F157" s="1">
        <v>1.706</v>
      </c>
      <c r="G157" s="1">
        <f t="shared" si="10"/>
        <v>-0.0839669572288114</v>
      </c>
      <c r="H157" s="11"/>
      <c r="W157" s="8" t="s">
        <v>52</v>
      </c>
      <c r="X157" s="4">
        <f t="shared" si="11"/>
        <v>-0.0250341645244215</v>
      </c>
      <c r="Y157" s="4">
        <f t="shared" si="12"/>
        <v>-0.00981269793621012</v>
      </c>
      <c r="Z157" s="4">
        <f t="shared" si="14"/>
        <v>-0.050981186440678</v>
      </c>
      <c r="AA157" s="4">
        <f t="shared" si="13"/>
        <v>0.00186109167249825</v>
      </c>
    </row>
    <row r="158" s="4" customFormat="1" ht="15" customHeight="1" spans="1:27">
      <c r="A158" s="6" t="s">
        <v>51</v>
      </c>
      <c r="B158" s="1">
        <v>18</v>
      </c>
      <c r="C158" s="1">
        <v>1.1909</v>
      </c>
      <c r="D158" s="1">
        <v>14.857</v>
      </c>
      <c r="E158" s="1">
        <v>0.3086</v>
      </c>
      <c r="F158" s="1">
        <v>1.92</v>
      </c>
      <c r="G158" s="1">
        <f t="shared" si="10"/>
        <v>-0.0609750345589855</v>
      </c>
      <c r="X158" s="4">
        <f t="shared" si="11"/>
        <v>0.0426009254498716</v>
      </c>
      <c r="Y158" s="4">
        <f t="shared" si="12"/>
        <v>-0.0192948742964353</v>
      </c>
      <c r="Z158" s="4">
        <f t="shared" si="14"/>
        <v>-0.0772916525423729</v>
      </c>
      <c r="AA158" s="4">
        <f t="shared" si="13"/>
        <v>-0.00698943317004899</v>
      </c>
    </row>
    <row r="159" s="4" customFormat="1" ht="15" customHeight="1" spans="1:27">
      <c r="A159" s="6" t="s">
        <v>51</v>
      </c>
      <c r="B159" s="1">
        <v>18</v>
      </c>
      <c r="C159" s="1">
        <v>1.1525</v>
      </c>
      <c r="D159" s="1">
        <v>15.85</v>
      </c>
      <c r="E159" s="1">
        <v>0.3207</v>
      </c>
      <c r="F159" s="1">
        <v>2.014</v>
      </c>
      <c r="G159" s="1">
        <f t="shared" si="10"/>
        <v>-0.112126284096655</v>
      </c>
      <c r="W159" s="8"/>
      <c r="X159" s="4">
        <f t="shared" si="11"/>
        <v>0.0132209768637534</v>
      </c>
      <c r="Y159" s="4">
        <f t="shared" si="12"/>
        <v>-0.0461971632270169</v>
      </c>
      <c r="Z159" s="4">
        <f t="shared" si="14"/>
        <v>-0.0682730508474576</v>
      </c>
      <c r="AA159" s="4">
        <f t="shared" si="13"/>
        <v>-0.0108770468859342</v>
      </c>
    </row>
    <row r="160" s="4" customFormat="1" ht="15" customHeight="1" spans="1:27">
      <c r="A160" s="6" t="s">
        <v>51</v>
      </c>
      <c r="B160" s="1">
        <v>18</v>
      </c>
      <c r="C160" s="1">
        <v>1.1074</v>
      </c>
      <c r="D160" s="1">
        <v>14.171</v>
      </c>
      <c r="E160" s="1">
        <v>0.4101</v>
      </c>
      <c r="F160" s="1">
        <v>1.795</v>
      </c>
      <c r="G160" s="1">
        <f t="shared" si="10"/>
        <v>-0.0254544491412623</v>
      </c>
      <c r="W160" s="8"/>
      <c r="X160" s="4">
        <f t="shared" si="11"/>
        <v>-0.0212851606683804</v>
      </c>
      <c r="Y160" s="4">
        <f t="shared" si="12"/>
        <v>-0.000709808630393978</v>
      </c>
      <c r="Z160" s="4">
        <f t="shared" si="14"/>
        <v>-0.00163974576271185</v>
      </c>
      <c r="AA160" s="4">
        <f t="shared" si="13"/>
        <v>-0.00181973407977607</v>
      </c>
    </row>
    <row r="161" s="4" customFormat="1" ht="15" customHeight="1" spans="1:27">
      <c r="A161" s="6" t="s">
        <v>51</v>
      </c>
      <c r="B161" s="1">
        <v>18</v>
      </c>
      <c r="C161" s="1">
        <v>1.1563</v>
      </c>
      <c r="D161" s="1">
        <v>13.434</v>
      </c>
      <c r="E161" s="1">
        <v>0.3607</v>
      </c>
      <c r="F161" s="1">
        <v>1.753</v>
      </c>
      <c r="G161" s="1">
        <f t="shared" si="10"/>
        <v>-0.00315689351061904</v>
      </c>
      <c r="W161" s="8"/>
      <c r="X161" s="4">
        <f t="shared" si="11"/>
        <v>0.0161283676092547</v>
      </c>
      <c r="Y161" s="4">
        <f t="shared" si="12"/>
        <v>0.0192569455909944</v>
      </c>
      <c r="Z161" s="4">
        <f t="shared" si="14"/>
        <v>-0.0384594915254237</v>
      </c>
      <c r="AA161" s="4">
        <f t="shared" si="13"/>
        <v>-8.27151854443668e-5</v>
      </c>
    </row>
    <row r="162" s="4" customFormat="1" ht="15" customHeight="1" spans="1:27">
      <c r="A162" s="6" t="s">
        <v>51</v>
      </c>
      <c r="B162" s="1">
        <v>18</v>
      </c>
      <c r="C162" s="1">
        <v>1.0052</v>
      </c>
      <c r="D162" s="1">
        <v>17.805</v>
      </c>
      <c r="E162" s="1">
        <v>0.3689</v>
      </c>
      <c r="F162" s="1">
        <v>2.144</v>
      </c>
      <c r="G162" s="1">
        <f t="shared" si="10"/>
        <v>-0.247241806652023</v>
      </c>
      <c r="W162" s="8"/>
      <c r="X162" s="4">
        <f t="shared" si="11"/>
        <v>-0.0994786696658096</v>
      </c>
      <c r="Y162" s="4">
        <f t="shared" si="12"/>
        <v>-0.0991618911819887</v>
      </c>
      <c r="Z162" s="4">
        <f t="shared" si="14"/>
        <v>-0.0323477118644068</v>
      </c>
      <c r="AA162" s="4">
        <f t="shared" si="13"/>
        <v>-0.0162535339398181</v>
      </c>
    </row>
    <row r="163" s="4" customFormat="1" ht="15" customHeight="1" spans="1:27">
      <c r="A163" s="6" t="s">
        <v>51</v>
      </c>
      <c r="B163" s="1">
        <v>18</v>
      </c>
      <c r="C163" s="1">
        <v>1.1242</v>
      </c>
      <c r="D163" s="1">
        <v>14.919</v>
      </c>
      <c r="E163" s="1">
        <v>0.3528</v>
      </c>
      <c r="F163" s="1">
        <v>1.962</v>
      </c>
      <c r="G163" s="1">
        <f t="shared" si="10"/>
        <v>-0.0824801288266777</v>
      </c>
      <c r="W163" s="8"/>
      <c r="X163" s="4">
        <f t="shared" si="11"/>
        <v>-0.00843143316195358</v>
      </c>
      <c r="Y163" s="4">
        <f t="shared" si="12"/>
        <v>-0.020974574108818</v>
      </c>
      <c r="Z163" s="4">
        <f t="shared" si="14"/>
        <v>-0.0443476694915254</v>
      </c>
      <c r="AA163" s="4">
        <f t="shared" si="13"/>
        <v>-0.00872645206438069</v>
      </c>
    </row>
    <row r="164" s="4" customFormat="1" ht="15" customHeight="1" spans="1:27">
      <c r="A164" s="6" t="s">
        <v>53</v>
      </c>
      <c r="B164" s="1">
        <v>19</v>
      </c>
      <c r="C164" s="1">
        <v>0.9549</v>
      </c>
      <c r="D164" s="1">
        <v>19.123</v>
      </c>
      <c r="E164" s="1">
        <v>0.3107</v>
      </c>
      <c r="F164" s="1">
        <v>2.378</v>
      </c>
      <c r="G164" s="1">
        <f t="shared" si="10"/>
        <v>-0.374490051378439</v>
      </c>
      <c r="W164" s="8"/>
      <c r="X164" s="4">
        <f t="shared" si="11"/>
        <v>-0.137963341902314</v>
      </c>
      <c r="Y164" s="4">
        <f t="shared" si="12"/>
        <v>-0.134869058161351</v>
      </c>
      <c r="Z164" s="4">
        <f t="shared" si="14"/>
        <v>-0.0757264406779661</v>
      </c>
      <c r="AA164" s="4">
        <f t="shared" si="13"/>
        <v>-0.025931210636809</v>
      </c>
    </row>
    <row r="165" s="4" customFormat="1" ht="15" customHeight="1" spans="1:27">
      <c r="A165" s="6" t="s">
        <v>53</v>
      </c>
      <c r="B165" s="1">
        <v>19</v>
      </c>
      <c r="C165" s="1">
        <v>0.9447</v>
      </c>
      <c r="D165" s="1">
        <v>20.017</v>
      </c>
      <c r="E165" s="1">
        <v>0.304</v>
      </c>
      <c r="F165" s="1">
        <v>2.638</v>
      </c>
      <c r="G165" s="1">
        <f t="shared" si="10"/>
        <v>-0.422261033133096</v>
      </c>
      <c r="W165" s="8"/>
      <c r="X165" s="4">
        <f t="shared" si="11"/>
        <v>-0.145767390745501</v>
      </c>
      <c r="Y165" s="4">
        <f t="shared" si="12"/>
        <v>-0.159089245778612</v>
      </c>
      <c r="Z165" s="4">
        <f t="shared" si="14"/>
        <v>-0.0807202118644068</v>
      </c>
      <c r="AA165" s="4">
        <f t="shared" si="13"/>
        <v>-0.0366841847445766</v>
      </c>
    </row>
    <row r="166" s="4" customFormat="1" ht="15" customHeight="1" spans="1:27">
      <c r="A166" s="6" t="s">
        <v>53</v>
      </c>
      <c r="B166" s="1">
        <v>19</v>
      </c>
      <c r="C166" s="1">
        <v>0.9903</v>
      </c>
      <c r="D166" s="1">
        <v>16.454</v>
      </c>
      <c r="E166" s="1">
        <v>0.3025</v>
      </c>
      <c r="F166" s="1">
        <v>2.081</v>
      </c>
      <c r="G166" s="1">
        <f t="shared" si="10"/>
        <v>-0.268925618168309</v>
      </c>
      <c r="H166" s="7"/>
      <c r="W166" s="8" t="s">
        <v>54</v>
      </c>
      <c r="X166" s="4">
        <f t="shared" si="11"/>
        <v>-0.110878701799486</v>
      </c>
      <c r="Y166" s="4">
        <f t="shared" si="12"/>
        <v>-0.0625606904315197</v>
      </c>
      <c r="Z166" s="4">
        <f t="shared" si="14"/>
        <v>-0.0818382203389831</v>
      </c>
      <c r="AA166" s="4">
        <f t="shared" si="13"/>
        <v>-0.0136480055983205</v>
      </c>
    </row>
    <row r="167" s="4" customFormat="1" ht="15" customHeight="1" spans="1:27">
      <c r="A167" s="6" t="s">
        <v>53</v>
      </c>
      <c r="B167" s="1">
        <v>19</v>
      </c>
      <c r="C167" s="1">
        <v>0.9771</v>
      </c>
      <c r="D167" s="1">
        <v>17.633</v>
      </c>
      <c r="E167" s="1">
        <v>0.2904</v>
      </c>
      <c r="F167" s="1">
        <v>2.367</v>
      </c>
      <c r="G167" s="1">
        <f t="shared" si="10"/>
        <v>-0.331813237075977</v>
      </c>
      <c r="X167" s="4">
        <f t="shared" si="11"/>
        <v>-0.120978059125964</v>
      </c>
      <c r="Y167" s="4">
        <f t="shared" si="12"/>
        <v>-0.0945020787992495</v>
      </c>
      <c r="Z167" s="4">
        <f t="shared" si="14"/>
        <v>-0.0908568220338983</v>
      </c>
      <c r="AA167" s="4">
        <f t="shared" si="13"/>
        <v>-0.0254762771168649</v>
      </c>
    </row>
    <row r="168" s="4" customFormat="1" ht="15" customHeight="1" spans="1:27">
      <c r="A168" s="6" t="s">
        <v>53</v>
      </c>
      <c r="B168" s="1">
        <v>19</v>
      </c>
      <c r="C168" s="1">
        <v>0.9613</v>
      </c>
      <c r="D168" s="1">
        <v>17.633</v>
      </c>
      <c r="E168" s="1">
        <v>0.3244</v>
      </c>
      <c r="F168" s="1">
        <v>2.146</v>
      </c>
      <c r="G168" s="1">
        <f t="shared" si="10"/>
        <v>-0.309420308339309</v>
      </c>
      <c r="W168" s="8"/>
      <c r="X168" s="4">
        <f t="shared" si="11"/>
        <v>-0.133066683804627</v>
      </c>
      <c r="Y168" s="4">
        <f t="shared" si="12"/>
        <v>-0.0945020787992495</v>
      </c>
      <c r="Z168" s="4">
        <f t="shared" si="14"/>
        <v>-0.0655152966101695</v>
      </c>
      <c r="AA168" s="4">
        <f t="shared" si="13"/>
        <v>-0.0163362491252624</v>
      </c>
    </row>
    <row r="169" s="4" customFormat="1" ht="15" customHeight="1" spans="1:27">
      <c r="A169" s="6" t="s">
        <v>53</v>
      </c>
      <c r="B169" s="1">
        <v>19</v>
      </c>
      <c r="C169" s="1">
        <v>1.0462</v>
      </c>
      <c r="D169" s="1">
        <v>15.408</v>
      </c>
      <c r="E169" s="1">
        <v>0.2939</v>
      </c>
      <c r="F169" s="1">
        <v>2.057</v>
      </c>
      <c r="G169" s="1">
        <f t="shared" si="10"/>
        <v>-0.20323554177439</v>
      </c>
      <c r="W169" s="8"/>
      <c r="X169" s="4">
        <f t="shared" si="11"/>
        <v>-0.0681094537275063</v>
      </c>
      <c r="Y169" s="4">
        <f t="shared" si="12"/>
        <v>-0.0342225290806754</v>
      </c>
      <c r="Z169" s="4">
        <f t="shared" si="14"/>
        <v>-0.0882481355932204</v>
      </c>
      <c r="AA169" s="4">
        <f t="shared" si="13"/>
        <v>-0.0126554233729881</v>
      </c>
    </row>
    <row r="170" s="4" customFormat="1" ht="15" customHeight="1" spans="1:27">
      <c r="A170" s="6" t="s">
        <v>53</v>
      </c>
      <c r="B170" s="1">
        <v>19</v>
      </c>
      <c r="C170" s="1">
        <v>0.9461</v>
      </c>
      <c r="D170" s="1">
        <v>19.592</v>
      </c>
      <c r="E170" s="1">
        <v>0.3245</v>
      </c>
      <c r="F170" s="1">
        <v>2.269</v>
      </c>
      <c r="G170" s="1">
        <f t="shared" si="10"/>
        <v>-0.37913541701264</v>
      </c>
      <c r="W170" s="8"/>
      <c r="X170" s="4">
        <f t="shared" si="11"/>
        <v>-0.144696246786632</v>
      </c>
      <c r="Y170" s="4">
        <f t="shared" si="12"/>
        <v>-0.147575174484052</v>
      </c>
      <c r="Z170" s="4">
        <f t="shared" si="14"/>
        <v>-0.0654407627118644</v>
      </c>
      <c r="AA170" s="4">
        <f t="shared" si="13"/>
        <v>-0.021423233030091</v>
      </c>
    </row>
    <row r="171" s="4" customFormat="1" ht="15" customHeight="1" spans="1:27">
      <c r="A171" s="6" t="s">
        <v>53</v>
      </c>
      <c r="B171" s="1">
        <v>19</v>
      </c>
      <c r="C171" s="1">
        <v>0.942</v>
      </c>
      <c r="D171" s="1">
        <v>17.424</v>
      </c>
      <c r="E171" s="1">
        <v>0.3171</v>
      </c>
      <c r="F171" s="1">
        <v>2.344</v>
      </c>
      <c r="G171" s="1">
        <f t="shared" si="10"/>
        <v>-0.33215435696673</v>
      </c>
      <c r="W171" s="8"/>
      <c r="X171" s="4">
        <f t="shared" si="11"/>
        <v>-0.147833168380463</v>
      </c>
      <c r="Y171" s="4">
        <f t="shared" si="12"/>
        <v>-0.0888398649155722</v>
      </c>
      <c r="Z171" s="4">
        <f t="shared" si="14"/>
        <v>-0.0709562711864407</v>
      </c>
      <c r="AA171" s="4">
        <f t="shared" si="13"/>
        <v>-0.0245250524842547</v>
      </c>
    </row>
    <row r="172" s="4" customFormat="1" ht="15" customHeight="1" spans="1:27">
      <c r="A172" s="6" t="s">
        <v>53</v>
      </c>
      <c r="B172" s="1">
        <v>19</v>
      </c>
      <c r="C172" s="1">
        <v>1.0056</v>
      </c>
      <c r="D172" s="1">
        <v>17.7</v>
      </c>
      <c r="E172" s="1">
        <v>0.3323</v>
      </c>
      <c r="F172" s="1">
        <v>2.246</v>
      </c>
      <c r="G172" s="1">
        <f t="shared" si="10"/>
        <v>-0.275588993850174</v>
      </c>
      <c r="W172" s="8"/>
      <c r="X172" s="4">
        <f t="shared" si="11"/>
        <v>-0.0991726285347043</v>
      </c>
      <c r="Y172" s="4">
        <f t="shared" si="12"/>
        <v>-0.0963172382739212</v>
      </c>
      <c r="Z172" s="4">
        <f t="shared" si="14"/>
        <v>-0.0596271186440678</v>
      </c>
      <c r="AA172" s="4">
        <f t="shared" si="13"/>
        <v>-0.0204720083974808</v>
      </c>
    </row>
    <row r="173" s="4" customFormat="1" ht="15" customHeight="1" spans="1:27">
      <c r="A173" s="6" t="s">
        <v>55</v>
      </c>
      <c r="B173" s="1">
        <v>20</v>
      </c>
      <c r="C173" s="1">
        <v>1.1379</v>
      </c>
      <c r="D173" s="1">
        <v>15.526</v>
      </c>
      <c r="E173" s="1">
        <v>0.3207</v>
      </c>
      <c r="F173" s="1">
        <v>1.904</v>
      </c>
      <c r="G173" s="1">
        <f t="shared" si="10"/>
        <v>-0.10996966406624</v>
      </c>
      <c r="W173" s="8"/>
      <c r="X173" s="4">
        <f t="shared" si="11"/>
        <v>0.00205047557840618</v>
      </c>
      <c r="Y173" s="4">
        <f t="shared" si="12"/>
        <v>-0.0374193771106942</v>
      </c>
      <c r="Z173" s="4">
        <f t="shared" si="14"/>
        <v>-0.0682730508474576</v>
      </c>
      <c r="AA173" s="4">
        <f t="shared" si="13"/>
        <v>-0.00632771168649405</v>
      </c>
    </row>
    <row r="174" s="4" customFormat="1" ht="15" customHeight="1" spans="1:27">
      <c r="A174" s="6" t="s">
        <v>55</v>
      </c>
      <c r="B174" s="1">
        <v>20</v>
      </c>
      <c r="C174" s="1">
        <v>1.1134</v>
      </c>
      <c r="D174" s="1">
        <v>13.574</v>
      </c>
      <c r="E174" s="1">
        <v>0.3238</v>
      </c>
      <c r="F174" s="1">
        <v>1.71</v>
      </c>
      <c r="G174" s="1">
        <f t="shared" si="10"/>
        <v>-0.0654973073532856</v>
      </c>
      <c r="W174" s="8"/>
      <c r="X174" s="4">
        <f t="shared" si="11"/>
        <v>-0.0166945437017994</v>
      </c>
      <c r="Y174" s="4">
        <f t="shared" si="12"/>
        <v>0.0154640750469043</v>
      </c>
      <c r="Z174" s="4">
        <f t="shared" si="14"/>
        <v>-0.0659625</v>
      </c>
      <c r="AA174" s="4">
        <f t="shared" si="13"/>
        <v>0.00169566130160951</v>
      </c>
    </row>
    <row r="175" s="4" customFormat="1" ht="15" customHeight="1" spans="1:27">
      <c r="A175" s="6" t="s">
        <v>55</v>
      </c>
      <c r="B175" s="1">
        <v>20</v>
      </c>
      <c r="C175" s="1">
        <v>1.2102</v>
      </c>
      <c r="D175" s="1">
        <v>13.9</v>
      </c>
      <c r="E175" s="1">
        <v>0.3533</v>
      </c>
      <c r="F175" s="1">
        <v>1.698</v>
      </c>
      <c r="G175" s="1">
        <f t="shared" si="10"/>
        <v>0.0222164675056487</v>
      </c>
      <c r="H175" s="7"/>
      <c r="W175" s="8" t="s">
        <v>56</v>
      </c>
      <c r="X175" s="4">
        <f t="shared" si="11"/>
        <v>0.057367410025707</v>
      </c>
      <c r="Y175" s="4">
        <f t="shared" si="12"/>
        <v>0.00663210506566603</v>
      </c>
      <c r="Z175" s="4">
        <f t="shared" si="14"/>
        <v>-0.043975</v>
      </c>
      <c r="AA175" s="4">
        <f t="shared" si="13"/>
        <v>0.00219195241427571</v>
      </c>
    </row>
    <row r="176" s="4" customFormat="1" ht="15" customHeight="1" spans="1:27">
      <c r="A176" s="6" t="s">
        <v>55</v>
      </c>
      <c r="B176" s="1">
        <v>20</v>
      </c>
      <c r="C176" s="1">
        <v>1.1104</v>
      </c>
      <c r="D176" s="1">
        <v>13.721</v>
      </c>
      <c r="E176" s="1">
        <v>0.384</v>
      </c>
      <c r="F176" s="1">
        <v>1.756</v>
      </c>
      <c r="G176" s="1">
        <f t="shared" si="10"/>
        <v>-0.02880817239343</v>
      </c>
      <c r="X176" s="4">
        <f t="shared" si="11"/>
        <v>-0.0189898521850899</v>
      </c>
      <c r="Y176" s="4">
        <f t="shared" si="12"/>
        <v>0.0114815609756098</v>
      </c>
      <c r="Z176" s="4">
        <f t="shared" si="14"/>
        <v>-0.021093093220339</v>
      </c>
      <c r="AA176" s="4">
        <f t="shared" si="13"/>
        <v>-0.000206787963610921</v>
      </c>
    </row>
    <row r="177" s="4" customFormat="1" ht="15" customHeight="1" spans="1:27">
      <c r="A177" s="6" t="s">
        <v>55</v>
      </c>
      <c r="B177" s="1">
        <v>20</v>
      </c>
      <c r="C177" s="1">
        <v>1.1323</v>
      </c>
      <c r="D177" s="1">
        <v>13.542</v>
      </c>
      <c r="E177" s="1">
        <v>0.3704</v>
      </c>
      <c r="F177" s="1">
        <v>1.724</v>
      </c>
      <c r="G177" s="1">
        <f t="shared" si="10"/>
        <v>-0.0160161317578473</v>
      </c>
      <c r="W177" s="8"/>
      <c r="X177" s="4">
        <f t="shared" si="11"/>
        <v>-0.00223410025706926</v>
      </c>
      <c r="Y177" s="4">
        <f t="shared" si="12"/>
        <v>0.0163310168855535</v>
      </c>
      <c r="Z177" s="4">
        <f t="shared" si="14"/>
        <v>-0.0312297033898305</v>
      </c>
      <c r="AA177" s="4">
        <f t="shared" si="13"/>
        <v>0.00111665500349895</v>
      </c>
    </row>
    <row r="178" s="4" customFormat="1" ht="15" customHeight="1" spans="1:27">
      <c r="A178" s="6" t="s">
        <v>55</v>
      </c>
      <c r="B178" s="1">
        <v>20</v>
      </c>
      <c r="C178" s="1">
        <v>1.1524</v>
      </c>
      <c r="D178" s="1">
        <v>14.312</v>
      </c>
      <c r="E178" s="1">
        <v>0.3305</v>
      </c>
      <c r="F178" s="1">
        <v>1.878</v>
      </c>
      <c r="G178" s="1">
        <f t="shared" si="10"/>
        <v>-0.0576064476152414</v>
      </c>
      <c r="W178" s="8"/>
      <c r="X178" s="4">
        <f t="shared" si="11"/>
        <v>0.013144466580977</v>
      </c>
      <c r="Y178" s="4">
        <f t="shared" si="12"/>
        <v>-0.00452977110694182</v>
      </c>
      <c r="Z178" s="4">
        <f t="shared" si="14"/>
        <v>-0.0609687288135593</v>
      </c>
      <c r="AA178" s="4">
        <f t="shared" si="13"/>
        <v>-0.00525241427571728</v>
      </c>
    </row>
    <row r="179" s="4" customFormat="1" ht="15" customHeight="1" spans="1:27">
      <c r="A179" s="6" t="s">
        <v>55</v>
      </c>
      <c r="B179" s="1">
        <v>20</v>
      </c>
      <c r="C179" s="1">
        <v>1.0116</v>
      </c>
      <c r="D179" s="1">
        <v>13.59</v>
      </c>
      <c r="E179" s="1">
        <v>0.2957</v>
      </c>
      <c r="F179" s="1">
        <v>1.87</v>
      </c>
      <c r="G179" s="1">
        <f t="shared" si="10"/>
        <v>-0.171379486398212</v>
      </c>
      <c r="W179" s="8"/>
      <c r="X179" s="4">
        <f t="shared" si="11"/>
        <v>-0.0945820115681233</v>
      </c>
      <c r="Y179" s="4">
        <f t="shared" si="12"/>
        <v>0.0150306041275797</v>
      </c>
      <c r="Z179" s="4">
        <f t="shared" si="14"/>
        <v>-0.0869065254237288</v>
      </c>
      <c r="AA179" s="4">
        <f t="shared" si="13"/>
        <v>-0.00492155353393983</v>
      </c>
    </row>
    <row r="180" s="4" customFormat="1" ht="15" customHeight="1" spans="1:27">
      <c r="A180" s="6" t="s">
        <v>55</v>
      </c>
      <c r="B180" s="1">
        <v>20</v>
      </c>
      <c r="C180" s="1">
        <v>1.1023</v>
      </c>
      <c r="D180" s="1">
        <v>15.15</v>
      </c>
      <c r="E180" s="1">
        <v>0.3304</v>
      </c>
      <c r="F180" s="1">
        <v>1.797</v>
      </c>
      <c r="G180" s="1">
        <f t="shared" si="10"/>
        <v>-0.115365707573626</v>
      </c>
      <c r="W180" s="8"/>
      <c r="X180" s="4">
        <f t="shared" si="11"/>
        <v>-0.0251871850899742</v>
      </c>
      <c r="Y180" s="4">
        <f t="shared" si="12"/>
        <v>-0.0272328105065666</v>
      </c>
      <c r="Z180" s="4">
        <f t="shared" si="14"/>
        <v>-0.0610432627118644</v>
      </c>
      <c r="AA180" s="4">
        <f t="shared" si="13"/>
        <v>-0.00190244926522044</v>
      </c>
    </row>
    <row r="181" s="4" customFormat="1" ht="15" customHeight="1" spans="1:27">
      <c r="A181" s="6" t="s">
        <v>55</v>
      </c>
      <c r="B181" s="1">
        <v>20</v>
      </c>
      <c r="C181" s="1">
        <v>1.1245</v>
      </c>
      <c r="D181" s="1">
        <v>14.422</v>
      </c>
      <c r="E181" s="1">
        <v>0.3235</v>
      </c>
      <c r="F181" s="1">
        <v>1.698</v>
      </c>
      <c r="G181" s="1">
        <f t="shared" si="10"/>
        <v>-0.0797059352715624</v>
      </c>
      <c r="W181" s="8"/>
      <c r="X181" s="4">
        <f t="shared" si="11"/>
        <v>-0.00820190231362456</v>
      </c>
      <c r="Y181" s="4">
        <f t="shared" si="12"/>
        <v>-0.00750988367729833</v>
      </c>
      <c r="Z181" s="4">
        <f t="shared" si="14"/>
        <v>-0.0661861016949152</v>
      </c>
      <c r="AA181" s="4">
        <f t="shared" si="13"/>
        <v>0.00219195241427571</v>
      </c>
    </row>
    <row r="182" s="4" customFormat="1" ht="15" customHeight="1" spans="1:27">
      <c r="A182" s="6" t="s">
        <v>57</v>
      </c>
      <c r="B182" s="1">
        <v>21</v>
      </c>
      <c r="C182" s="1">
        <v>1.0721</v>
      </c>
      <c r="D182" s="1">
        <v>15.091</v>
      </c>
      <c r="E182" s="1">
        <v>0.2831</v>
      </c>
      <c r="F182" s="1">
        <v>2.019</v>
      </c>
      <c r="G182" s="1">
        <f t="shared" si="10"/>
        <v>-0.181309308439704</v>
      </c>
      <c r="W182" s="8"/>
      <c r="X182" s="4">
        <f t="shared" si="11"/>
        <v>-0.0482932904884317</v>
      </c>
      <c r="Y182" s="4">
        <f t="shared" si="12"/>
        <v>-0.0256343864915572</v>
      </c>
      <c r="Z182" s="4">
        <f t="shared" si="14"/>
        <v>-0.0962977966101695</v>
      </c>
      <c r="AA182" s="4">
        <f t="shared" si="13"/>
        <v>-0.0110838348495451</v>
      </c>
    </row>
    <row r="183" s="4" customFormat="1" ht="15" customHeight="1" spans="1:27">
      <c r="A183" s="6" t="s">
        <v>57</v>
      </c>
      <c r="B183" s="1">
        <v>21</v>
      </c>
      <c r="C183" s="1">
        <v>1.083</v>
      </c>
      <c r="D183" s="1">
        <v>16.702</v>
      </c>
      <c r="E183" s="1">
        <v>0.288</v>
      </c>
      <c r="F183" s="1">
        <v>2.043</v>
      </c>
      <c r="G183" s="1">
        <f t="shared" si="10"/>
        <v>-0.213955212014958</v>
      </c>
      <c r="W183" s="8"/>
      <c r="X183" s="4">
        <f t="shared" si="11"/>
        <v>-0.0399536696658097</v>
      </c>
      <c r="Y183" s="4">
        <f t="shared" si="12"/>
        <v>-0.0692794896810507</v>
      </c>
      <c r="Z183" s="4">
        <f t="shared" si="14"/>
        <v>-0.0926456355932204</v>
      </c>
      <c r="AA183" s="4">
        <f t="shared" si="13"/>
        <v>-0.0120764170748775</v>
      </c>
    </row>
    <row r="184" s="4" customFormat="1" ht="15" customHeight="1" spans="1:27">
      <c r="A184" s="6" t="s">
        <v>57</v>
      </c>
      <c r="B184" s="1">
        <v>21</v>
      </c>
      <c r="C184" s="1">
        <v>1.0502</v>
      </c>
      <c r="D184" s="1">
        <v>14.661</v>
      </c>
      <c r="E184" s="1">
        <v>0.2738</v>
      </c>
      <c r="F184" s="1">
        <v>1.819</v>
      </c>
      <c r="G184" s="1">
        <f t="shared" si="10"/>
        <v>-0.185075663408812</v>
      </c>
      <c r="H184" s="7"/>
      <c r="W184" s="8" t="s">
        <v>58</v>
      </c>
      <c r="X184" s="4">
        <f t="shared" si="11"/>
        <v>-0.0650490424164523</v>
      </c>
      <c r="Y184" s="4">
        <f t="shared" si="12"/>
        <v>-0.0139848555347092</v>
      </c>
      <c r="Z184" s="4">
        <f t="shared" si="14"/>
        <v>-0.103229449152542</v>
      </c>
      <c r="AA184" s="4">
        <f t="shared" si="13"/>
        <v>-0.00281231630510847</v>
      </c>
    </row>
    <row r="185" s="4" customFormat="1" ht="15" customHeight="1" spans="1:27">
      <c r="A185" s="6" t="s">
        <v>57</v>
      </c>
      <c r="B185" s="1">
        <v>21</v>
      </c>
      <c r="C185" s="1">
        <v>1.1186</v>
      </c>
      <c r="D185" s="1">
        <v>15.648</v>
      </c>
      <c r="E185" s="1">
        <v>0.2931</v>
      </c>
      <c r="F185" s="1">
        <v>1.902</v>
      </c>
      <c r="G185" s="1">
        <f t="shared" si="10"/>
        <v>-0.148530005148684</v>
      </c>
      <c r="X185" s="4">
        <f t="shared" si="11"/>
        <v>-0.0127160089974292</v>
      </c>
      <c r="Y185" s="4">
        <f t="shared" si="12"/>
        <v>-0.0407245928705441</v>
      </c>
      <c r="Z185" s="4">
        <f t="shared" si="14"/>
        <v>-0.088844406779661</v>
      </c>
      <c r="AA185" s="4">
        <f t="shared" si="13"/>
        <v>-0.00624499650104969</v>
      </c>
    </row>
    <row r="186" s="4" customFormat="1" ht="15" customHeight="1" spans="1:27">
      <c r="A186" s="6" t="s">
        <v>57</v>
      </c>
      <c r="B186" s="1">
        <v>21</v>
      </c>
      <c r="C186" s="1">
        <v>1.1656</v>
      </c>
      <c r="D186" s="1">
        <v>14.939</v>
      </c>
      <c r="E186" s="1">
        <v>0.3423</v>
      </c>
      <c r="F186" s="1">
        <v>1.907</v>
      </c>
      <c r="G186" s="1">
        <f t="shared" si="10"/>
        <v>-0.0568981021287386</v>
      </c>
      <c r="W186" s="8"/>
      <c r="X186" s="4">
        <f t="shared" si="11"/>
        <v>0.0232438239074551</v>
      </c>
      <c r="Y186" s="4">
        <f t="shared" si="12"/>
        <v>-0.0215164127579737</v>
      </c>
      <c r="Z186" s="4">
        <f t="shared" si="14"/>
        <v>-0.0521737288135593</v>
      </c>
      <c r="AA186" s="4">
        <f t="shared" si="13"/>
        <v>-0.00645178446466061</v>
      </c>
    </row>
    <row r="187" s="4" customFormat="1" ht="15" customHeight="1" spans="1:27">
      <c r="A187" s="6" t="s">
        <v>57</v>
      </c>
      <c r="B187" s="1">
        <v>21</v>
      </c>
      <c r="C187" s="1">
        <v>1.278</v>
      </c>
      <c r="D187" s="1">
        <v>16.137</v>
      </c>
      <c r="E187" s="1">
        <v>0.4203</v>
      </c>
      <c r="F187" s="1">
        <v>2.028</v>
      </c>
      <c r="G187" s="1">
        <f t="shared" si="10"/>
        <v>0.0497754925860325</v>
      </c>
      <c r="W187" s="8"/>
      <c r="X187" s="4">
        <f t="shared" si="11"/>
        <v>0.109241381748072</v>
      </c>
      <c r="Y187" s="4">
        <f t="shared" si="12"/>
        <v>-0.0539725478424015</v>
      </c>
      <c r="Z187" s="4">
        <f t="shared" si="14"/>
        <v>0.00596271186440679</v>
      </c>
      <c r="AA187" s="4">
        <f t="shared" si="13"/>
        <v>-0.0114560531840448</v>
      </c>
    </row>
    <row r="188" s="4" customFormat="1" ht="15" customHeight="1" spans="1:27">
      <c r="A188" s="6" t="s">
        <v>57</v>
      </c>
      <c r="B188" s="1">
        <v>21</v>
      </c>
      <c r="C188" s="1">
        <v>1.1471</v>
      </c>
      <c r="D188" s="1">
        <v>15.365</v>
      </c>
      <c r="E188" s="1">
        <v>0.3148</v>
      </c>
      <c r="F188" s="1">
        <v>1.947</v>
      </c>
      <c r="G188" s="1">
        <f t="shared" si="10"/>
        <v>-0.104744793412166</v>
      </c>
      <c r="W188" s="8"/>
      <c r="X188" s="4">
        <f t="shared" si="11"/>
        <v>0.00908942159383042</v>
      </c>
      <c r="Y188" s="4">
        <f t="shared" si="12"/>
        <v>-0.0330575759849906</v>
      </c>
      <c r="Z188" s="4">
        <f t="shared" si="14"/>
        <v>-0.0726705508474576</v>
      </c>
      <c r="AA188" s="4">
        <f t="shared" si="13"/>
        <v>-0.00810608817354794</v>
      </c>
    </row>
    <row r="189" s="4" customFormat="1" ht="15" customHeight="1" spans="1:27">
      <c r="A189" s="6" t="s">
        <v>57</v>
      </c>
      <c r="B189" s="1">
        <v>21</v>
      </c>
      <c r="C189" s="1">
        <v>1.055</v>
      </c>
      <c r="D189" s="1">
        <v>19.057</v>
      </c>
      <c r="E189" s="1">
        <v>0.3018</v>
      </c>
      <c r="F189" s="1">
        <v>2.38</v>
      </c>
      <c r="G189" s="1">
        <f t="shared" si="10"/>
        <v>-0.302831422911696</v>
      </c>
      <c r="W189" s="8"/>
      <c r="X189" s="4">
        <f t="shared" si="11"/>
        <v>-0.0613765488431876</v>
      </c>
      <c r="Y189" s="4">
        <f t="shared" si="12"/>
        <v>-0.133080990619137</v>
      </c>
      <c r="Z189" s="4">
        <f t="shared" si="14"/>
        <v>-0.0823599576271186</v>
      </c>
      <c r="AA189" s="4">
        <f t="shared" si="13"/>
        <v>-0.0260139258222533</v>
      </c>
    </row>
    <row r="190" s="4" customFormat="1" ht="15" customHeight="1" spans="1:27">
      <c r="A190" s="6" t="s">
        <v>57</v>
      </c>
      <c r="B190" s="1">
        <v>21</v>
      </c>
      <c r="C190" s="1">
        <v>1.1844</v>
      </c>
      <c r="D190" s="1">
        <v>15.669</v>
      </c>
      <c r="E190" s="1">
        <v>0.3296</v>
      </c>
      <c r="F190" s="1">
        <v>2.058</v>
      </c>
      <c r="G190" s="1">
        <f t="shared" si="10"/>
        <v>-0.0780020812467642</v>
      </c>
      <c r="W190" s="8"/>
      <c r="X190" s="4">
        <f t="shared" si="11"/>
        <v>0.0376277570694087</v>
      </c>
      <c r="Y190" s="4">
        <f t="shared" si="12"/>
        <v>-0.0412935234521576</v>
      </c>
      <c r="Z190" s="4">
        <f t="shared" si="14"/>
        <v>-0.0616395338983051</v>
      </c>
      <c r="AA190" s="4">
        <f t="shared" si="13"/>
        <v>-0.0126967809657103</v>
      </c>
    </row>
    <row r="191" s="4" customFormat="1" ht="15" customHeight="1" spans="1:27">
      <c r="A191" s="6" t="s">
        <v>59</v>
      </c>
      <c r="B191" s="1">
        <v>22</v>
      </c>
      <c r="C191" s="1">
        <v>1.0311</v>
      </c>
      <c r="D191" s="1">
        <v>19.442</v>
      </c>
      <c r="E191" s="1">
        <v>0.3071</v>
      </c>
      <c r="F191" s="1">
        <v>2.308</v>
      </c>
      <c r="G191" s="1">
        <f t="shared" si="10"/>
        <v>-0.324619731205325</v>
      </c>
      <c r="W191" s="8"/>
      <c r="X191" s="4">
        <f t="shared" si="11"/>
        <v>-0.0796625064267352</v>
      </c>
      <c r="Y191" s="4">
        <f t="shared" si="12"/>
        <v>-0.143511384615385</v>
      </c>
      <c r="Z191" s="4">
        <f t="shared" si="14"/>
        <v>-0.0784096610169492</v>
      </c>
      <c r="AA191" s="4">
        <f t="shared" si="13"/>
        <v>-0.0230361791462561</v>
      </c>
    </row>
    <row r="192" s="4" customFormat="1" ht="15" customHeight="1" spans="1:27">
      <c r="A192" s="6" t="s">
        <v>59</v>
      </c>
      <c r="B192" s="1">
        <v>22</v>
      </c>
      <c r="C192" s="1">
        <v>1.0744</v>
      </c>
      <c r="D192" s="1">
        <v>17.37</v>
      </c>
      <c r="E192" s="1">
        <v>0.3496</v>
      </c>
      <c r="F192" s="1">
        <v>2.09</v>
      </c>
      <c r="G192" s="1">
        <f t="shared" si="10"/>
        <v>-0.194663432717536</v>
      </c>
      <c r="W192" s="8"/>
      <c r="X192" s="4">
        <f t="shared" si="11"/>
        <v>-0.0465335539845757</v>
      </c>
      <c r="Y192" s="4">
        <f t="shared" si="12"/>
        <v>-0.0873769005628518</v>
      </c>
      <c r="Z192" s="4">
        <f t="shared" si="14"/>
        <v>-0.0467327542372881</v>
      </c>
      <c r="AA192" s="4">
        <f t="shared" si="13"/>
        <v>-0.0140202239328202</v>
      </c>
    </row>
    <row r="193" s="4" customFormat="1" ht="15" customHeight="1" spans="1:27">
      <c r="A193" s="6" t="s">
        <v>59</v>
      </c>
      <c r="B193" s="1">
        <v>22</v>
      </c>
      <c r="C193" s="1">
        <v>1.1948</v>
      </c>
      <c r="D193" s="1">
        <v>17.728</v>
      </c>
      <c r="E193" s="1">
        <v>0.3232</v>
      </c>
      <c r="F193" s="1">
        <v>2.121</v>
      </c>
      <c r="G193" s="1">
        <f t="shared" si="10"/>
        <v>-0.133202998601628</v>
      </c>
      <c r="H193" s="7"/>
      <c r="W193" s="8" t="s">
        <v>60</v>
      </c>
      <c r="X193" s="4">
        <f t="shared" si="11"/>
        <v>0.0455848264781492</v>
      </c>
      <c r="Y193" s="4">
        <f t="shared" si="12"/>
        <v>-0.0970758123827393</v>
      </c>
      <c r="Z193" s="4">
        <f t="shared" si="14"/>
        <v>-0.0664097033898305</v>
      </c>
      <c r="AA193" s="4">
        <f t="shared" si="13"/>
        <v>-0.0153023093072078</v>
      </c>
    </row>
    <row r="194" s="4" customFormat="1" ht="15" customHeight="1" spans="1:27">
      <c r="A194" s="6" t="s">
        <v>59</v>
      </c>
      <c r="B194" s="1">
        <v>22</v>
      </c>
      <c r="C194" s="1">
        <v>1.2224</v>
      </c>
      <c r="D194" s="1">
        <v>17.13</v>
      </c>
      <c r="E194" s="1">
        <v>0.3395</v>
      </c>
      <c r="F194" s="1">
        <v>2.019</v>
      </c>
      <c r="G194" s="1">
        <f t="shared" ref="G194:G257" si="15">SUM(X194,Y194,Z194,AA194)</f>
        <v>-0.0795176850642083</v>
      </c>
      <c r="X194" s="4">
        <f t="shared" ref="X194:X257" si="16">(C194-S$2)/N$2*I$2</f>
        <v>0.0667016645244216</v>
      </c>
      <c r="Y194" s="4">
        <f t="shared" ref="Y194:Y257" si="17">(T$2-D194)/O$2*J$2</f>
        <v>-0.0808748367729831</v>
      </c>
      <c r="Z194" s="4">
        <f t="shared" si="14"/>
        <v>-0.0542606779661017</v>
      </c>
      <c r="AA194" s="4">
        <f t="shared" ref="AA194:AA257" si="18">(V$2-F194)/Q$2*L$2</f>
        <v>-0.0110838348495451</v>
      </c>
    </row>
    <row r="195" s="4" customFormat="1" ht="15" customHeight="1" spans="1:27">
      <c r="A195" s="6" t="s">
        <v>59</v>
      </c>
      <c r="B195" s="1">
        <v>22</v>
      </c>
      <c r="C195" s="1">
        <v>1.1983</v>
      </c>
      <c r="D195" s="1">
        <v>18.361</v>
      </c>
      <c r="E195" s="1">
        <v>0.3887</v>
      </c>
      <c r="F195" s="1">
        <v>2.414</v>
      </c>
      <c r="G195" s="1">
        <f t="shared" si="15"/>
        <v>-0.110972403228004</v>
      </c>
      <c r="W195" s="8"/>
      <c r="X195" s="4">
        <f t="shared" si="16"/>
        <v>0.0482626863753214</v>
      </c>
      <c r="Y195" s="4">
        <f t="shared" si="17"/>
        <v>-0.114225005628518</v>
      </c>
      <c r="Z195" s="4">
        <f t="shared" si="14"/>
        <v>-0.01759</v>
      </c>
      <c r="AA195" s="4">
        <f t="shared" si="18"/>
        <v>-0.0274200839748076</v>
      </c>
    </row>
    <row r="196" s="4" customFormat="1" ht="15" customHeight="1" spans="1:27">
      <c r="A196" s="6" t="s">
        <v>59</v>
      </c>
      <c r="B196" s="1">
        <v>22</v>
      </c>
      <c r="C196" s="1">
        <v>1.2318</v>
      </c>
      <c r="D196" s="1">
        <v>16.29</v>
      </c>
      <c r="E196" s="1">
        <v>0.3908</v>
      </c>
      <c r="F196" s="1">
        <v>2.05</v>
      </c>
      <c r="G196" s="1">
        <f t="shared" si="15"/>
        <v>-0.0126146907625703</v>
      </c>
      <c r="W196" s="8"/>
      <c r="X196" s="4">
        <f t="shared" si="16"/>
        <v>0.0738936311053985</v>
      </c>
      <c r="Y196" s="4">
        <f t="shared" si="17"/>
        <v>-0.0581176135084428</v>
      </c>
      <c r="Z196" s="4">
        <f t="shared" si="14"/>
        <v>-0.0160247881355932</v>
      </c>
      <c r="AA196" s="4">
        <f t="shared" si="18"/>
        <v>-0.0123659202239328</v>
      </c>
    </row>
    <row r="197" s="4" customFormat="1" ht="15" customHeight="1" spans="1:27">
      <c r="A197" s="6" t="s">
        <v>59</v>
      </c>
      <c r="B197" s="1">
        <v>22</v>
      </c>
      <c r="C197" s="1">
        <v>1.1187</v>
      </c>
      <c r="D197" s="1">
        <v>17.961</v>
      </c>
      <c r="E197" s="1">
        <v>0.3355</v>
      </c>
      <c r="F197" s="1">
        <v>2.316</v>
      </c>
      <c r="G197" s="1">
        <f t="shared" si="15"/>
        <v>-0.196636805146395</v>
      </c>
      <c r="W197" s="8"/>
      <c r="X197" s="4">
        <f t="shared" si="16"/>
        <v>-0.0126394987146529</v>
      </c>
      <c r="Y197" s="4">
        <f t="shared" si="17"/>
        <v>-0.103388232645403</v>
      </c>
      <c r="Z197" s="4">
        <f t="shared" si="14"/>
        <v>-0.0572420338983051</v>
      </c>
      <c r="AA197" s="4">
        <f t="shared" si="18"/>
        <v>-0.0233670398880336</v>
      </c>
    </row>
    <row r="198" s="4" customFormat="1" ht="15" customHeight="1" spans="1:27">
      <c r="A198" s="6" t="s">
        <v>59</v>
      </c>
      <c r="B198" s="1">
        <v>22</v>
      </c>
      <c r="C198" s="1">
        <v>1.1566</v>
      </c>
      <c r="D198" s="1">
        <v>18.449</v>
      </c>
      <c r="E198" s="1">
        <v>0.3008</v>
      </c>
      <c r="F198" s="1">
        <v>2.266</v>
      </c>
      <c r="G198" s="1">
        <f t="shared" si="15"/>
        <v>-0.204655654089313</v>
      </c>
      <c r="W198" s="8"/>
      <c r="X198" s="4">
        <f t="shared" si="16"/>
        <v>0.0163578984575837</v>
      </c>
      <c r="Y198" s="4">
        <f t="shared" si="17"/>
        <v>-0.116609095684803</v>
      </c>
      <c r="Z198" s="4">
        <f t="shared" si="14"/>
        <v>-0.0831052966101695</v>
      </c>
      <c r="AA198" s="4">
        <f t="shared" si="18"/>
        <v>-0.0212991602519244</v>
      </c>
    </row>
    <row r="199" s="4" customFormat="1" ht="15" customHeight="1" spans="1:27">
      <c r="A199" s="6" t="s">
        <v>59</v>
      </c>
      <c r="B199" s="1">
        <v>22</v>
      </c>
      <c r="C199" s="1">
        <v>1.2349</v>
      </c>
      <c r="D199" s="1">
        <v>18.051</v>
      </c>
      <c r="E199" s="1">
        <v>0.3479</v>
      </c>
      <c r="F199" s="1">
        <v>2.172</v>
      </c>
      <c r="G199" s="1">
        <f t="shared" si="15"/>
        <v>-0.0949724337396524</v>
      </c>
      <c r="W199" s="8"/>
      <c r="X199" s="4">
        <f t="shared" si="16"/>
        <v>0.0762654498714655</v>
      </c>
      <c r="Y199" s="4">
        <f t="shared" si="17"/>
        <v>-0.105826506566604</v>
      </c>
      <c r="Z199" s="4">
        <f t="shared" si="14"/>
        <v>-0.0479998305084746</v>
      </c>
      <c r="AA199" s="4">
        <f t="shared" si="18"/>
        <v>-0.0174115465360392</v>
      </c>
    </row>
    <row r="200" s="4" customFormat="1" ht="15" customHeight="1" spans="1:27">
      <c r="A200" s="6" t="s">
        <v>61</v>
      </c>
      <c r="B200" s="1">
        <v>23</v>
      </c>
      <c r="C200" s="1">
        <v>1.2159</v>
      </c>
      <c r="D200" s="1">
        <v>15.736</v>
      </c>
      <c r="E200" s="1">
        <v>0.3266</v>
      </c>
      <c r="F200" s="1">
        <v>2.104</v>
      </c>
      <c r="G200" s="1">
        <f t="shared" si="15"/>
        <v>-0.0598549678612587</v>
      </c>
      <c r="W200" s="8"/>
      <c r="X200" s="4">
        <f t="shared" si="16"/>
        <v>0.0617284961439589</v>
      </c>
      <c r="Y200" s="4">
        <f t="shared" si="17"/>
        <v>-0.0431086829268293</v>
      </c>
      <c r="Z200" s="4">
        <f t="shared" si="14"/>
        <v>-0.0638755508474576</v>
      </c>
      <c r="AA200" s="4">
        <f t="shared" si="18"/>
        <v>-0.0145992302309307</v>
      </c>
    </row>
    <row r="201" s="4" customFormat="1" ht="15" customHeight="1" spans="1:27">
      <c r="A201" s="6" t="s">
        <v>61</v>
      </c>
      <c r="B201" s="1">
        <v>23</v>
      </c>
      <c r="C201" s="1">
        <v>1.1975</v>
      </c>
      <c r="D201" s="1">
        <v>18.12</v>
      </c>
      <c r="E201" s="1">
        <v>0.3491</v>
      </c>
      <c r="F201" s="1">
        <v>2.343</v>
      </c>
      <c r="G201" s="1">
        <f t="shared" si="15"/>
        <v>-0.131634364413427</v>
      </c>
      <c r="W201" s="8"/>
      <c r="X201" s="4">
        <f t="shared" si="16"/>
        <v>0.0476506041131106</v>
      </c>
      <c r="Y201" s="4">
        <f t="shared" si="17"/>
        <v>-0.107695849906191</v>
      </c>
      <c r="Z201" s="4">
        <f t="shared" si="14"/>
        <v>-0.0471054237288136</v>
      </c>
      <c r="AA201" s="4">
        <f t="shared" si="18"/>
        <v>-0.0244836948915325</v>
      </c>
    </row>
    <row r="202" s="4" customFormat="1" ht="15" customHeight="1" spans="1:27">
      <c r="A202" s="6" t="s">
        <v>61</v>
      </c>
      <c r="B202" s="1">
        <v>23</v>
      </c>
      <c r="C202" s="1">
        <v>1.2048</v>
      </c>
      <c r="D202" s="1">
        <v>18.313</v>
      </c>
      <c r="E202" s="1">
        <v>0.3131</v>
      </c>
      <c r="F202" s="1">
        <v>2.179</v>
      </c>
      <c r="G202" s="1">
        <f t="shared" si="15"/>
        <v>-0.151327414918498</v>
      </c>
      <c r="H202" s="7"/>
      <c r="W202" s="8" t="s">
        <v>62</v>
      </c>
      <c r="X202" s="4">
        <f t="shared" si="16"/>
        <v>0.0532358547557842</v>
      </c>
      <c r="Y202" s="4">
        <f t="shared" si="17"/>
        <v>-0.112924592870544</v>
      </c>
      <c r="Z202" s="4">
        <f t="shared" si="14"/>
        <v>-0.0739376271186441</v>
      </c>
      <c r="AA202" s="4">
        <f t="shared" si="18"/>
        <v>-0.0177010496850945</v>
      </c>
    </row>
    <row r="203" s="4" customFormat="1" ht="15" customHeight="1" spans="1:27">
      <c r="A203" s="6" t="s">
        <v>61</v>
      </c>
      <c r="B203" s="1">
        <v>23</v>
      </c>
      <c r="C203" s="1">
        <v>1.262</v>
      </c>
      <c r="D203" s="1">
        <v>18.082</v>
      </c>
      <c r="E203" s="1">
        <v>0.3523</v>
      </c>
      <c r="F203" s="1">
        <v>2.283</v>
      </c>
      <c r="G203" s="1">
        <f t="shared" si="15"/>
        <v>-0.0763891982801918</v>
      </c>
      <c r="X203" s="4">
        <f t="shared" si="16"/>
        <v>0.0969997365038561</v>
      </c>
      <c r="Y203" s="4">
        <f t="shared" si="17"/>
        <v>-0.106666356472796</v>
      </c>
      <c r="Z203" s="4">
        <f t="shared" si="14"/>
        <v>-0.0447203389830508</v>
      </c>
      <c r="AA203" s="4">
        <f t="shared" si="18"/>
        <v>-0.0220022393282015</v>
      </c>
    </row>
    <row r="204" s="4" customFormat="1" ht="15" customHeight="1" spans="1:27">
      <c r="A204" s="6" t="s">
        <v>61</v>
      </c>
      <c r="B204" s="1">
        <v>23</v>
      </c>
      <c r="C204" s="1">
        <v>1.1857</v>
      </c>
      <c r="D204" s="1">
        <v>18.967</v>
      </c>
      <c r="E204" s="1">
        <v>0.3614</v>
      </c>
      <c r="F204" s="1">
        <v>2.26</v>
      </c>
      <c r="G204" s="1">
        <f t="shared" si="15"/>
        <v>-0.151009094885314</v>
      </c>
      <c r="W204" s="8"/>
      <c r="X204" s="4">
        <f t="shared" si="16"/>
        <v>0.0386223907455013</v>
      </c>
      <c r="Y204" s="4">
        <f t="shared" si="17"/>
        <v>-0.130642716697936</v>
      </c>
      <c r="Z204" s="4">
        <f t="shared" si="14"/>
        <v>-0.0379377542372881</v>
      </c>
      <c r="AA204" s="4">
        <f t="shared" si="18"/>
        <v>-0.0210510146955913</v>
      </c>
    </row>
    <row r="205" s="4" customFormat="1" ht="15" customHeight="1" spans="1:27">
      <c r="A205" s="6" t="s">
        <v>61</v>
      </c>
      <c r="B205" s="1">
        <v>23</v>
      </c>
      <c r="C205" s="1">
        <v>1.1974</v>
      </c>
      <c r="D205" s="1">
        <v>16.634</v>
      </c>
      <c r="E205" s="1">
        <v>0.4014</v>
      </c>
      <c r="F205" s="1">
        <v>2.143</v>
      </c>
      <c r="G205" s="1">
        <f t="shared" si="15"/>
        <v>-0.0441995157059371</v>
      </c>
      <c r="W205" s="8"/>
      <c r="X205" s="4">
        <f t="shared" si="16"/>
        <v>0.0475740938303343</v>
      </c>
      <c r="Y205" s="4">
        <f t="shared" si="17"/>
        <v>-0.0674372382739212</v>
      </c>
      <c r="Z205" s="4">
        <f t="shared" si="14"/>
        <v>-0.00812419491525425</v>
      </c>
      <c r="AA205" s="4">
        <f t="shared" si="18"/>
        <v>-0.0162121763470959</v>
      </c>
    </row>
    <row r="206" s="4" customFormat="1" ht="15" customHeight="1" spans="1:27">
      <c r="A206" s="6" t="s">
        <v>61</v>
      </c>
      <c r="B206" s="1">
        <v>23</v>
      </c>
      <c r="C206" s="1">
        <v>1.2625</v>
      </c>
      <c r="D206" s="1">
        <v>18.293</v>
      </c>
      <c r="E206" s="1">
        <v>0.3317</v>
      </c>
      <c r="F206" s="1">
        <v>2.335</v>
      </c>
      <c r="G206" s="1">
        <f t="shared" si="15"/>
        <v>-0.0992276224873039</v>
      </c>
      <c r="W206" s="8"/>
      <c r="X206" s="4">
        <f t="shared" si="16"/>
        <v>0.0973822879177378</v>
      </c>
      <c r="Y206" s="4">
        <f t="shared" si="17"/>
        <v>-0.112382754221388</v>
      </c>
      <c r="Z206" s="4">
        <f t="shared" si="14"/>
        <v>-0.0600743220338983</v>
      </c>
      <c r="AA206" s="4">
        <f t="shared" si="18"/>
        <v>-0.0241528341497551</v>
      </c>
    </row>
    <row r="207" s="4" customFormat="1" ht="15" customHeight="1" spans="1:27">
      <c r="A207" s="6" t="s">
        <v>61</v>
      </c>
      <c r="B207" s="1">
        <v>23</v>
      </c>
      <c r="C207" s="1">
        <v>1.1541</v>
      </c>
      <c r="D207" s="1">
        <v>16.08</v>
      </c>
      <c r="E207" s="1">
        <v>0.3703</v>
      </c>
      <c r="F207" s="1">
        <v>2.026</v>
      </c>
      <c r="G207" s="1">
        <f t="shared" si="15"/>
        <v>-0.0806607415908688</v>
      </c>
      <c r="W207" s="8"/>
      <c r="X207" s="4">
        <f t="shared" si="16"/>
        <v>0.0144451413881748</v>
      </c>
      <c r="Y207" s="4">
        <f t="shared" si="17"/>
        <v>-0.0524283076923076</v>
      </c>
      <c r="Z207" s="4">
        <f t="shared" si="14"/>
        <v>-0.0313042372881356</v>
      </c>
      <c r="AA207" s="4">
        <f t="shared" si="18"/>
        <v>-0.0113733379986004</v>
      </c>
    </row>
    <row r="208" s="4" customFormat="1" ht="15" customHeight="1" spans="1:27">
      <c r="A208" s="6" t="s">
        <v>61</v>
      </c>
      <c r="B208" s="1">
        <v>23</v>
      </c>
      <c r="C208" s="1">
        <v>1.2775</v>
      </c>
      <c r="D208" s="1">
        <v>17.966</v>
      </c>
      <c r="E208" s="1">
        <v>0.362</v>
      </c>
      <c r="F208" s="1">
        <v>2.364</v>
      </c>
      <c r="G208" s="1">
        <f t="shared" si="15"/>
        <v>-0.057507617159658</v>
      </c>
      <c r="W208" s="8"/>
      <c r="X208" s="4">
        <f t="shared" si="16"/>
        <v>0.10885883033419</v>
      </c>
      <c r="Y208" s="4">
        <f t="shared" si="17"/>
        <v>-0.103523692307692</v>
      </c>
      <c r="Z208" s="4">
        <f t="shared" si="14"/>
        <v>-0.0374905508474576</v>
      </c>
      <c r="AA208" s="4">
        <f t="shared" si="18"/>
        <v>-0.0253522043386984</v>
      </c>
    </row>
    <row r="209" s="4" customFormat="1" ht="15" customHeight="1" spans="1:27">
      <c r="A209" s="6" t="s">
        <v>63</v>
      </c>
      <c r="B209" s="1">
        <v>24</v>
      </c>
      <c r="C209" s="1">
        <v>1.043</v>
      </c>
      <c r="D209" s="1">
        <v>15.521</v>
      </c>
      <c r="E209" s="1">
        <v>0.3433</v>
      </c>
      <c r="F209" s="1">
        <v>2.017</v>
      </c>
      <c r="G209" s="1">
        <f t="shared" si="15"/>
        <v>-0.170271209719364</v>
      </c>
      <c r="W209" s="8"/>
      <c r="X209" s="4">
        <f t="shared" si="16"/>
        <v>-0.0705577827763496</v>
      </c>
      <c r="Y209" s="4">
        <f t="shared" si="17"/>
        <v>-0.0372839174484053</v>
      </c>
      <c r="Z209" s="4">
        <f t="shared" si="14"/>
        <v>-0.0514283898305085</v>
      </c>
      <c r="AA209" s="4">
        <f t="shared" si="18"/>
        <v>-0.0110011196641008</v>
      </c>
    </row>
    <row r="210" s="4" customFormat="1" ht="15" customHeight="1" spans="1:27">
      <c r="A210" s="6" t="s">
        <v>63</v>
      </c>
      <c r="B210" s="1">
        <v>24</v>
      </c>
      <c r="C210" s="1">
        <v>1.0117</v>
      </c>
      <c r="D210" s="1">
        <v>14.79</v>
      </c>
      <c r="E210" s="1">
        <v>0.278</v>
      </c>
      <c r="F210" s="1">
        <v>1.787</v>
      </c>
      <c r="G210" s="1">
        <f t="shared" si="15"/>
        <v>-0.213573114868838</v>
      </c>
      <c r="W210" s="8"/>
      <c r="X210" s="4">
        <f t="shared" si="16"/>
        <v>-0.0945055012853469</v>
      </c>
      <c r="Y210" s="4">
        <f t="shared" si="17"/>
        <v>-0.0174797148217636</v>
      </c>
      <c r="Z210" s="4">
        <f t="shared" si="14"/>
        <v>-0.100099025423729</v>
      </c>
      <c r="AA210" s="4">
        <f t="shared" si="18"/>
        <v>-0.0014888733379986</v>
      </c>
    </row>
    <row r="211" s="4" customFormat="1" ht="15" customHeight="1" spans="1:27">
      <c r="A211" s="6" t="s">
        <v>63</v>
      </c>
      <c r="B211" s="1">
        <v>24</v>
      </c>
      <c r="C211" s="1">
        <v>0.9908</v>
      </c>
      <c r="D211" s="1">
        <v>16.535</v>
      </c>
      <c r="E211" s="1">
        <v>0.3078</v>
      </c>
      <c r="F211" s="1">
        <v>1.926</v>
      </c>
      <c r="G211" s="1">
        <f t="shared" si="15"/>
        <v>-0.2603767898014</v>
      </c>
      <c r="H211" s="7"/>
      <c r="W211" s="8" t="s">
        <v>64</v>
      </c>
      <c r="X211" s="4">
        <f t="shared" si="16"/>
        <v>-0.110496150385604</v>
      </c>
      <c r="Y211" s="4">
        <f t="shared" si="17"/>
        <v>-0.0647551369606004</v>
      </c>
      <c r="Z211" s="4">
        <f t="shared" ref="Z211:Z274" si="19">(E211-U$2)/P$2*K$2</f>
        <v>-0.0778879237288135</v>
      </c>
      <c r="AA211" s="4">
        <f t="shared" si="18"/>
        <v>-0.00723757872638209</v>
      </c>
    </row>
    <row r="212" s="4" customFormat="1" ht="15" customHeight="1" spans="1:27">
      <c r="A212" s="6" t="s">
        <v>63</v>
      </c>
      <c r="B212" s="1">
        <v>24</v>
      </c>
      <c r="C212" s="1">
        <v>1.0853</v>
      </c>
      <c r="D212" s="1">
        <v>14.347</v>
      </c>
      <c r="E212" s="1">
        <v>0.3685</v>
      </c>
      <c r="F212" s="1">
        <v>1.751</v>
      </c>
      <c r="G212" s="1">
        <f t="shared" si="15"/>
        <v>-0.0763177693625452</v>
      </c>
      <c r="X212" s="4">
        <f t="shared" si="16"/>
        <v>-0.0381939331619537</v>
      </c>
      <c r="Y212" s="4">
        <f t="shared" si="17"/>
        <v>-0.00547798874296434</v>
      </c>
      <c r="Z212" s="4">
        <f t="shared" si="19"/>
        <v>-0.0326458474576271</v>
      </c>
      <c r="AA212" s="4">
        <f t="shared" si="18"/>
        <v>0</v>
      </c>
    </row>
    <row r="213" s="4" customFormat="1" ht="15" customHeight="1" spans="1:27">
      <c r="A213" s="6" t="s">
        <v>63</v>
      </c>
      <c r="B213" s="1">
        <v>24</v>
      </c>
      <c r="C213" s="1">
        <v>1.0442</v>
      </c>
      <c r="D213" s="1">
        <v>15.595</v>
      </c>
      <c r="E213" s="1">
        <v>0.3196</v>
      </c>
      <c r="F213" s="1">
        <v>1.87</v>
      </c>
      <c r="G213" s="1">
        <f t="shared" si="15"/>
        <v>-0.182942857096068</v>
      </c>
      <c r="W213" s="8"/>
      <c r="X213" s="4">
        <f t="shared" si="16"/>
        <v>-0.0696396593830333</v>
      </c>
      <c r="Y213" s="4">
        <f t="shared" si="17"/>
        <v>-0.0392887204502814</v>
      </c>
      <c r="Z213" s="4">
        <f t="shared" si="19"/>
        <v>-0.0690929237288136</v>
      </c>
      <c r="AA213" s="4">
        <f t="shared" si="18"/>
        <v>-0.00492155353393983</v>
      </c>
    </row>
    <row r="214" s="4" customFormat="1" ht="15" customHeight="1" spans="1:27">
      <c r="A214" s="6" t="s">
        <v>63</v>
      </c>
      <c r="B214" s="1">
        <v>24</v>
      </c>
      <c r="C214" s="1">
        <v>1.063</v>
      </c>
      <c r="D214" s="1">
        <v>15.062</v>
      </c>
      <c r="E214" s="1">
        <v>0.3178</v>
      </c>
      <c r="F214" s="1">
        <v>1.941</v>
      </c>
      <c r="G214" s="1">
        <f t="shared" si="15"/>
        <v>-0.158396923186881</v>
      </c>
      <c r="W214" s="8"/>
      <c r="X214" s="4">
        <f t="shared" si="16"/>
        <v>-0.0552557262210797</v>
      </c>
      <c r="Y214" s="4">
        <f t="shared" si="17"/>
        <v>-0.0248487204502814</v>
      </c>
      <c r="Z214" s="4">
        <f t="shared" si="19"/>
        <v>-0.0704345338983051</v>
      </c>
      <c r="AA214" s="4">
        <f t="shared" si="18"/>
        <v>-0.00785794261721484</v>
      </c>
    </row>
    <row r="215" s="4" customFormat="1" ht="15" customHeight="1" spans="1:27">
      <c r="A215" s="6" t="s">
        <v>63</v>
      </c>
      <c r="B215" s="1">
        <v>24</v>
      </c>
      <c r="C215" s="1">
        <v>1.0921</v>
      </c>
      <c r="D215" s="1">
        <v>15.61</v>
      </c>
      <c r="E215" s="1">
        <v>0.3623</v>
      </c>
      <c r="F215" s="1">
        <v>1.948</v>
      </c>
      <c r="G215" s="1">
        <f t="shared" si="15"/>
        <v>-0.118100728289123</v>
      </c>
      <c r="W215" s="8"/>
      <c r="X215" s="4">
        <f t="shared" si="16"/>
        <v>-0.0329912339331618</v>
      </c>
      <c r="Y215" s="4">
        <f t="shared" si="17"/>
        <v>-0.0396950994371482</v>
      </c>
      <c r="Z215" s="4">
        <f t="shared" si="19"/>
        <v>-0.0372669491525424</v>
      </c>
      <c r="AA215" s="4">
        <f t="shared" si="18"/>
        <v>-0.00814744576627012</v>
      </c>
    </row>
    <row r="216" s="4" customFormat="1" ht="15" customHeight="1" spans="1:27">
      <c r="A216" s="6" t="s">
        <v>63</v>
      </c>
      <c r="B216" s="1">
        <v>24</v>
      </c>
      <c r="C216" s="1">
        <v>1.1036</v>
      </c>
      <c r="D216" s="1">
        <v>15.612</v>
      </c>
      <c r="E216" s="1">
        <v>0.3381</v>
      </c>
      <c r="F216" s="1">
        <v>1.891</v>
      </c>
      <c r="G216" s="1">
        <f t="shared" si="15"/>
        <v>-0.125036050239424</v>
      </c>
      <c r="W216" s="8"/>
      <c r="X216" s="4">
        <f t="shared" si="16"/>
        <v>-0.0241925514138817</v>
      </c>
      <c r="Y216" s="4">
        <f t="shared" si="17"/>
        <v>-0.0397492833020638</v>
      </c>
      <c r="Z216" s="4">
        <f t="shared" si="19"/>
        <v>-0.0553041525423729</v>
      </c>
      <c r="AA216" s="4">
        <f t="shared" si="18"/>
        <v>-0.00579006298110567</v>
      </c>
    </row>
    <row r="217" s="4" customFormat="1" ht="15" customHeight="1" spans="1:27">
      <c r="A217" s="6" t="s">
        <v>63</v>
      </c>
      <c r="B217" s="1">
        <v>24</v>
      </c>
      <c r="C217" s="1">
        <v>1.0211</v>
      </c>
      <c r="D217" s="1">
        <v>16.447</v>
      </c>
      <c r="E217" s="1">
        <v>0.3843</v>
      </c>
      <c r="F217" s="1">
        <v>1.904</v>
      </c>
      <c r="G217" s="1">
        <f t="shared" si="15"/>
        <v>-0.176881784820603</v>
      </c>
      <c r="W217" s="8"/>
      <c r="X217" s="4">
        <f t="shared" si="16"/>
        <v>-0.0873135347043702</v>
      </c>
      <c r="Y217" s="4">
        <f t="shared" si="17"/>
        <v>-0.0623710469043152</v>
      </c>
      <c r="Z217" s="4">
        <f t="shared" si="19"/>
        <v>-0.0208694915254238</v>
      </c>
      <c r="AA217" s="4">
        <f t="shared" si="18"/>
        <v>-0.00632771168649405</v>
      </c>
    </row>
    <row r="218" s="4" customFormat="1" ht="15" customHeight="1" spans="1:27">
      <c r="A218" s="6" t="s">
        <v>65</v>
      </c>
      <c r="B218" s="1">
        <v>25</v>
      </c>
      <c r="C218" s="1">
        <v>1.1186</v>
      </c>
      <c r="D218" s="1">
        <v>15.96</v>
      </c>
      <c r="E218" s="1">
        <v>0.3936</v>
      </c>
      <c r="F218" s="1">
        <v>1.881</v>
      </c>
      <c r="G218" s="1">
        <f t="shared" si="15"/>
        <v>-0.0812076108317373</v>
      </c>
      <c r="W218" s="8"/>
      <c r="X218" s="4">
        <f t="shared" si="16"/>
        <v>-0.0127160089974292</v>
      </c>
      <c r="Y218" s="4">
        <f t="shared" si="17"/>
        <v>-0.0491772757973734</v>
      </c>
      <c r="Z218" s="4">
        <f t="shared" si="19"/>
        <v>-0.0139378389830508</v>
      </c>
      <c r="AA218" s="4">
        <f t="shared" si="18"/>
        <v>-0.00537648705388384</v>
      </c>
    </row>
    <row r="219" s="4" customFormat="1" ht="15" customHeight="1" spans="1:27">
      <c r="A219" s="6" t="s">
        <v>65</v>
      </c>
      <c r="B219" s="1">
        <v>25</v>
      </c>
      <c r="C219" s="1">
        <v>1.1188</v>
      </c>
      <c r="D219" s="1">
        <v>15.215</v>
      </c>
      <c r="E219" s="1">
        <v>0.3271</v>
      </c>
      <c r="F219" s="1">
        <v>1.784</v>
      </c>
      <c r="G219" s="1">
        <f t="shared" si="15"/>
        <v>-0.106424456463963</v>
      </c>
      <c r="W219" s="8"/>
      <c r="X219" s="4">
        <f t="shared" si="16"/>
        <v>-0.0125629884318765</v>
      </c>
      <c r="Y219" s="4">
        <f t="shared" si="17"/>
        <v>-0.0289937861163227</v>
      </c>
      <c r="Z219" s="4">
        <f t="shared" si="19"/>
        <v>-0.0635028813559322</v>
      </c>
      <c r="AA219" s="4">
        <f t="shared" si="18"/>
        <v>-0.00136480055983206</v>
      </c>
    </row>
    <row r="220" s="4" customFormat="1" ht="15" customHeight="1" spans="1:27">
      <c r="A220" s="6" t="s">
        <v>65</v>
      </c>
      <c r="B220" s="1">
        <v>25</v>
      </c>
      <c r="C220" s="1">
        <v>1.053</v>
      </c>
      <c r="D220" s="1">
        <v>14.734</v>
      </c>
      <c r="E220" s="1">
        <v>0.3557</v>
      </c>
      <c r="F220" s="1">
        <v>1.743</v>
      </c>
      <c r="G220" s="1">
        <f t="shared" si="15"/>
        <v>-0.120724646801743</v>
      </c>
      <c r="H220" s="11"/>
      <c r="W220" s="8" t="s">
        <v>66</v>
      </c>
      <c r="X220" s="4">
        <f t="shared" si="16"/>
        <v>-0.0629067544987146</v>
      </c>
      <c r="Y220" s="4">
        <f t="shared" si="17"/>
        <v>-0.0159625666041276</v>
      </c>
      <c r="Z220" s="4">
        <f t="shared" si="19"/>
        <v>-0.042186186440678</v>
      </c>
      <c r="AA220" s="4">
        <f t="shared" si="18"/>
        <v>0.000330860741777458</v>
      </c>
    </row>
    <row r="221" s="4" customFormat="1" ht="15" customHeight="1" spans="1:27">
      <c r="A221" s="6" t="s">
        <v>65</v>
      </c>
      <c r="B221" s="1">
        <v>25</v>
      </c>
      <c r="C221" s="1">
        <v>1.0573</v>
      </c>
      <c r="D221" s="1">
        <v>16.588</v>
      </c>
      <c r="E221" s="1">
        <v>0.3097</v>
      </c>
      <c r="F221" s="1">
        <v>1.993</v>
      </c>
      <c r="G221" s="1">
        <f t="shared" si="15"/>
        <v>-0.21228813881998</v>
      </c>
      <c r="X221" s="4">
        <f t="shared" si="16"/>
        <v>-0.0596168123393316</v>
      </c>
      <c r="Y221" s="4">
        <f t="shared" si="17"/>
        <v>-0.0661910093808631</v>
      </c>
      <c r="Z221" s="4">
        <f t="shared" si="19"/>
        <v>-0.076471779661017</v>
      </c>
      <c r="AA221" s="4">
        <f t="shared" si="18"/>
        <v>-0.0100085374387684</v>
      </c>
    </row>
    <row r="222" s="4" customFormat="1" ht="15" customHeight="1" spans="1:27">
      <c r="A222" s="6" t="s">
        <v>65</v>
      </c>
      <c r="B222" s="1">
        <v>25</v>
      </c>
      <c r="C222" s="1">
        <v>1.169</v>
      </c>
      <c r="D222" s="1">
        <v>15.143</v>
      </c>
      <c r="E222" s="1">
        <v>0.3326</v>
      </c>
      <c r="F222" s="1">
        <v>1.883</v>
      </c>
      <c r="G222" s="1">
        <f t="shared" si="15"/>
        <v>-0.0660607126459919</v>
      </c>
      <c r="W222" s="8"/>
      <c r="X222" s="4">
        <f t="shared" si="16"/>
        <v>0.025845173521851</v>
      </c>
      <c r="Y222" s="4">
        <f t="shared" si="17"/>
        <v>-0.0270431669793621</v>
      </c>
      <c r="Z222" s="4">
        <f t="shared" si="19"/>
        <v>-0.0594035169491525</v>
      </c>
      <c r="AA222" s="4">
        <f t="shared" si="18"/>
        <v>-0.00545920223932821</v>
      </c>
    </row>
    <row r="223" s="4" customFormat="1" ht="15" customHeight="1" spans="1:27">
      <c r="A223" s="6" t="s">
        <v>65</v>
      </c>
      <c r="B223" s="1">
        <v>25</v>
      </c>
      <c r="C223" s="1">
        <v>1.1419</v>
      </c>
      <c r="D223" s="1">
        <v>16.434</v>
      </c>
      <c r="E223" s="1">
        <v>0.3016</v>
      </c>
      <c r="F223" s="13">
        <v>2.209</v>
      </c>
      <c r="G223" s="1">
        <f t="shared" si="15"/>
        <v>-0.158358767783393</v>
      </c>
      <c r="W223" s="8"/>
      <c r="X223" s="4">
        <f t="shared" si="16"/>
        <v>0.00511088688946017</v>
      </c>
      <c r="Y223" s="4">
        <f t="shared" si="17"/>
        <v>-0.062018851782364</v>
      </c>
      <c r="Z223" s="4">
        <f t="shared" si="19"/>
        <v>-0.0825090254237288</v>
      </c>
      <c r="AA223" s="4">
        <f t="shared" si="18"/>
        <v>-0.01894177746676</v>
      </c>
    </row>
    <row r="224" s="4" customFormat="1" ht="15" customHeight="1" spans="1:27">
      <c r="A224" s="6" t="s">
        <v>65</v>
      </c>
      <c r="B224" s="1">
        <v>25</v>
      </c>
      <c r="C224" s="1">
        <v>1.198</v>
      </c>
      <c r="D224" s="1">
        <v>15.463</v>
      </c>
      <c r="E224" s="1">
        <v>0.4007</v>
      </c>
      <c r="F224" s="1">
        <v>2.057</v>
      </c>
      <c r="G224" s="1">
        <f t="shared" si="15"/>
        <v>-0.00898078541523925</v>
      </c>
      <c r="W224" s="8"/>
      <c r="X224" s="4">
        <f t="shared" si="16"/>
        <v>0.0480331555269923</v>
      </c>
      <c r="Y224" s="4">
        <f t="shared" si="17"/>
        <v>-0.0357125853658536</v>
      </c>
      <c r="Z224" s="4">
        <f t="shared" si="19"/>
        <v>-0.00864593220338983</v>
      </c>
      <c r="AA224" s="4">
        <f t="shared" si="18"/>
        <v>-0.0126554233729881</v>
      </c>
    </row>
    <row r="225" s="4" customFormat="1" ht="15" customHeight="1" spans="1:27">
      <c r="A225" s="6" t="s">
        <v>65</v>
      </c>
      <c r="B225" s="1">
        <v>25</v>
      </c>
      <c r="C225" s="1">
        <v>1.1978</v>
      </c>
      <c r="D225" s="1">
        <v>13.816</v>
      </c>
      <c r="E225" s="1">
        <v>0.3505</v>
      </c>
      <c r="F225" s="1">
        <v>1.6</v>
      </c>
      <c r="G225" s="1">
        <f t="shared" si="15"/>
        <v>0.016971009702067</v>
      </c>
      <c r="W225" s="8"/>
      <c r="X225" s="4">
        <f t="shared" si="16"/>
        <v>0.0478801349614396</v>
      </c>
      <c r="Y225" s="4">
        <f t="shared" si="17"/>
        <v>0.00890782739212006</v>
      </c>
      <c r="Z225" s="4">
        <f t="shared" si="19"/>
        <v>-0.0460619491525424</v>
      </c>
      <c r="AA225" s="4">
        <f t="shared" si="18"/>
        <v>0.00624499650104968</v>
      </c>
    </row>
    <row r="226" s="4" customFormat="1" ht="15" customHeight="1" spans="1:27">
      <c r="A226" s="6" t="s">
        <v>65</v>
      </c>
      <c r="B226" s="1">
        <v>25</v>
      </c>
      <c r="C226" s="1">
        <v>1.1087</v>
      </c>
      <c r="D226" s="1">
        <v>14.493</v>
      </c>
      <c r="E226" s="1">
        <v>0.3474</v>
      </c>
      <c r="F226" s="1">
        <v>1.729</v>
      </c>
      <c r="G226" s="1">
        <f t="shared" si="15"/>
        <v>-0.0771865708342009</v>
      </c>
      <c r="W226" s="8"/>
      <c r="X226" s="4">
        <f t="shared" si="16"/>
        <v>-0.0202905269922878</v>
      </c>
      <c r="Y226" s="4">
        <f t="shared" si="17"/>
        <v>-0.00943341088180113</v>
      </c>
      <c r="Z226" s="4">
        <f t="shared" si="19"/>
        <v>-0.0483725</v>
      </c>
      <c r="AA226" s="4">
        <f t="shared" si="18"/>
        <v>0.000909867039888025</v>
      </c>
    </row>
    <row r="227" s="4" customFormat="1" ht="15" customHeight="1" spans="1:27">
      <c r="A227" s="6" t="s">
        <v>67</v>
      </c>
      <c r="B227" s="1">
        <v>26</v>
      </c>
      <c r="C227" s="1">
        <v>1.1787</v>
      </c>
      <c r="D227" s="1">
        <v>14.184</v>
      </c>
      <c r="E227" s="1">
        <v>0.4154</v>
      </c>
      <c r="F227" s="1">
        <v>1.876</v>
      </c>
      <c r="G227" s="1">
        <f t="shared" si="15"/>
        <v>0.0293455189559965</v>
      </c>
      <c r="W227" s="8"/>
      <c r="X227" s="4">
        <f t="shared" si="16"/>
        <v>0.033266670951157</v>
      </c>
      <c r="Y227" s="4">
        <f t="shared" si="17"/>
        <v>-0.00106200375234519</v>
      </c>
      <c r="Z227" s="4">
        <f t="shared" si="19"/>
        <v>0.00231055084745762</v>
      </c>
      <c r="AA227" s="4">
        <f t="shared" si="18"/>
        <v>-0.00516969909027292</v>
      </c>
    </row>
    <row r="228" s="4" customFormat="1" ht="15" customHeight="1" spans="1:27">
      <c r="A228" s="6" t="s">
        <v>67</v>
      </c>
      <c r="B228" s="1">
        <v>26</v>
      </c>
      <c r="C228" s="1">
        <v>1.1712</v>
      </c>
      <c r="D228" s="1">
        <v>15.012</v>
      </c>
      <c r="E228" s="1">
        <v>0.3589</v>
      </c>
      <c r="F228" s="1">
        <v>1.908</v>
      </c>
      <c r="G228" s="1">
        <f t="shared" si="15"/>
        <v>-0.0422599678367595</v>
      </c>
      <c r="W228" s="8"/>
      <c r="X228" s="4">
        <f t="shared" si="16"/>
        <v>0.0275283997429307</v>
      </c>
      <c r="Y228" s="4">
        <f t="shared" si="17"/>
        <v>-0.0234941238273921</v>
      </c>
      <c r="Z228" s="4">
        <f t="shared" si="19"/>
        <v>-0.0398011016949153</v>
      </c>
      <c r="AA228" s="4">
        <f t="shared" si="18"/>
        <v>-0.00649314205738279</v>
      </c>
    </row>
    <row r="229" s="4" customFormat="1" ht="15" customHeight="1" spans="1:27">
      <c r="A229" s="6" t="s">
        <v>67</v>
      </c>
      <c r="B229" s="1">
        <v>26</v>
      </c>
      <c r="C229" s="1">
        <v>1.1421</v>
      </c>
      <c r="D229" s="1">
        <v>13.24</v>
      </c>
      <c r="E229" s="1">
        <v>0.3463</v>
      </c>
      <c r="F229" s="1">
        <v>1.679</v>
      </c>
      <c r="G229" s="1">
        <f t="shared" si="15"/>
        <v>-0.016437938262541</v>
      </c>
      <c r="H229" s="11"/>
      <c r="W229" s="8" t="s">
        <v>68</v>
      </c>
      <c r="X229" s="4">
        <f t="shared" si="16"/>
        <v>0.00526390745501285</v>
      </c>
      <c r="Y229" s="4">
        <f t="shared" si="17"/>
        <v>0.0245127804878049</v>
      </c>
      <c r="Z229" s="4">
        <f t="shared" si="19"/>
        <v>-0.0491923728813559</v>
      </c>
      <c r="AA229" s="4">
        <f t="shared" si="18"/>
        <v>0.00297774667599719</v>
      </c>
    </row>
    <row r="230" s="4" customFormat="1" ht="15" customHeight="1" spans="1:27">
      <c r="A230" s="6" t="s">
        <v>67</v>
      </c>
      <c r="B230" s="1">
        <v>26</v>
      </c>
      <c r="C230" s="1">
        <v>1.1547</v>
      </c>
      <c r="D230" s="1">
        <v>15.229</v>
      </c>
      <c r="E230" s="1">
        <v>0.3862</v>
      </c>
      <c r="F230" s="1">
        <v>1.804</v>
      </c>
      <c r="G230" s="1">
        <f t="shared" si="15"/>
        <v>-0.0361141699578015</v>
      </c>
      <c r="X230" s="4">
        <f t="shared" si="16"/>
        <v>0.014904203084833</v>
      </c>
      <c r="Y230" s="4">
        <f t="shared" si="17"/>
        <v>-0.0293730731707317</v>
      </c>
      <c r="Z230" s="4">
        <f t="shared" si="19"/>
        <v>-0.0194533474576271</v>
      </c>
      <c r="AA230" s="4">
        <f t="shared" si="18"/>
        <v>-0.00219195241427572</v>
      </c>
    </row>
    <row r="231" s="4" customFormat="1" ht="15" customHeight="1" spans="1:27">
      <c r="A231" s="6" t="s">
        <v>67</v>
      </c>
      <c r="B231" s="1">
        <v>26</v>
      </c>
      <c r="C231" s="1">
        <v>1.1249</v>
      </c>
      <c r="D231" s="1">
        <v>14.035</v>
      </c>
      <c r="E231" s="1">
        <v>0.4072</v>
      </c>
      <c r="F231" s="1">
        <v>1.698</v>
      </c>
      <c r="G231" s="1">
        <f t="shared" si="15"/>
        <v>-0.00653044339793788</v>
      </c>
      <c r="W231" s="8"/>
      <c r="X231" s="4">
        <f t="shared" si="16"/>
        <v>-0.00789586118251919</v>
      </c>
      <c r="Y231" s="4">
        <f t="shared" si="17"/>
        <v>0.00297469418386491</v>
      </c>
      <c r="Z231" s="4">
        <f t="shared" si="19"/>
        <v>-0.00380122881355932</v>
      </c>
      <c r="AA231" s="4">
        <f t="shared" si="18"/>
        <v>0.00219195241427571</v>
      </c>
    </row>
    <row r="232" s="4" customFormat="1" ht="15" customHeight="1" spans="1:27">
      <c r="A232" s="6" t="s">
        <v>67</v>
      </c>
      <c r="B232" s="1">
        <v>26</v>
      </c>
      <c r="C232" s="1">
        <v>1.12</v>
      </c>
      <c r="D232" s="1">
        <v>15.218</v>
      </c>
      <c r="E232" s="1">
        <v>0.3627</v>
      </c>
      <c r="F232" s="1">
        <v>1.769</v>
      </c>
      <c r="G232" s="1">
        <f t="shared" si="15"/>
        <v>-0.0784331771805776</v>
      </c>
      <c r="W232" s="8"/>
      <c r="X232" s="4">
        <f t="shared" si="16"/>
        <v>-0.0116448650385602</v>
      </c>
      <c r="Y232" s="4">
        <f t="shared" si="17"/>
        <v>-0.0290750619136961</v>
      </c>
      <c r="Z232" s="4">
        <f t="shared" si="19"/>
        <v>-0.036968813559322</v>
      </c>
      <c r="AA232" s="4">
        <f t="shared" si="18"/>
        <v>-0.000744436668999301</v>
      </c>
    </row>
    <row r="233" s="4" customFormat="1" ht="15" customHeight="1" spans="1:27">
      <c r="A233" s="6" t="s">
        <v>67</v>
      </c>
      <c r="B233" s="1">
        <v>26</v>
      </c>
      <c r="C233" s="1">
        <v>1.1159</v>
      </c>
      <c r="D233" s="1">
        <v>15.455</v>
      </c>
      <c r="E233" s="1">
        <v>0.4252</v>
      </c>
      <c r="F233" s="1">
        <v>2.016</v>
      </c>
      <c r="G233" s="1">
        <f t="shared" si="15"/>
        <v>-0.0516225257286048</v>
      </c>
      <c r="W233" s="8"/>
      <c r="X233" s="4">
        <f t="shared" si="16"/>
        <v>-0.0147817866323907</v>
      </c>
      <c r="Y233" s="4">
        <f t="shared" si="17"/>
        <v>-0.0354958499061914</v>
      </c>
      <c r="Z233" s="4">
        <f t="shared" si="19"/>
        <v>0.00961487288135595</v>
      </c>
      <c r="AA233" s="4">
        <f t="shared" si="18"/>
        <v>-0.0109597620713786</v>
      </c>
    </row>
    <row r="234" s="4" customFormat="1" ht="15" customHeight="1" spans="1:27">
      <c r="A234" s="6" t="s">
        <v>67</v>
      </c>
      <c r="B234" s="1">
        <v>26</v>
      </c>
      <c r="C234" s="1">
        <v>1.206</v>
      </c>
      <c r="D234" s="1">
        <v>14.237</v>
      </c>
      <c r="E234" s="1">
        <v>0.3521</v>
      </c>
      <c r="F234" s="1">
        <v>1.694</v>
      </c>
      <c r="G234" s="1">
        <f t="shared" si="15"/>
        <v>0.00914407798199587</v>
      </c>
      <c r="W234" s="8"/>
      <c r="X234" s="4">
        <f t="shared" si="16"/>
        <v>0.0541539781491003</v>
      </c>
      <c r="Y234" s="4">
        <f t="shared" si="17"/>
        <v>-0.00249787617260788</v>
      </c>
      <c r="Z234" s="4">
        <f t="shared" si="19"/>
        <v>-0.044869406779661</v>
      </c>
      <c r="AA234" s="4">
        <f t="shared" si="18"/>
        <v>0.00235738278516445</v>
      </c>
    </row>
    <row r="235" s="4" customFormat="1" ht="15" customHeight="1" spans="1:27">
      <c r="A235" s="6" t="s">
        <v>67</v>
      </c>
      <c r="B235" s="1">
        <v>26</v>
      </c>
      <c r="C235" s="1">
        <v>1.1356</v>
      </c>
      <c r="D235" s="1">
        <v>13.521</v>
      </c>
      <c r="E235" s="1">
        <v>0.3692</v>
      </c>
      <c r="F235" s="1">
        <v>1.722</v>
      </c>
      <c r="G235" s="1">
        <f t="shared" si="15"/>
        <v>-0.0137340534388311</v>
      </c>
      <c r="W235" s="8"/>
      <c r="X235" s="4">
        <f t="shared" si="16"/>
        <v>0.000290739074550164</v>
      </c>
      <c r="Y235" s="4">
        <f t="shared" si="17"/>
        <v>0.016899947467167</v>
      </c>
      <c r="Z235" s="4">
        <f t="shared" si="19"/>
        <v>-0.0321241101694915</v>
      </c>
      <c r="AA235" s="4">
        <f t="shared" si="18"/>
        <v>0.00119937018894331</v>
      </c>
    </row>
    <row r="236" s="4" customFormat="1" ht="15" customHeight="1" spans="1:27">
      <c r="A236" s="6" t="s">
        <v>69</v>
      </c>
      <c r="B236" s="1">
        <v>27</v>
      </c>
      <c r="C236" s="1">
        <v>1.1663</v>
      </c>
      <c r="D236" s="1">
        <v>17.368</v>
      </c>
      <c r="E236" s="1">
        <v>0.3855</v>
      </c>
      <c r="F236" s="1">
        <v>2.033</v>
      </c>
      <c r="G236" s="1">
        <f t="shared" si="15"/>
        <v>-0.0951812467044651</v>
      </c>
      <c r="W236" s="8"/>
      <c r="X236" s="4">
        <f t="shared" si="16"/>
        <v>0.0237793958868895</v>
      </c>
      <c r="Y236" s="4">
        <f t="shared" si="17"/>
        <v>-0.0873227166979362</v>
      </c>
      <c r="Z236" s="4">
        <f t="shared" si="19"/>
        <v>-0.0199750847457627</v>
      </c>
      <c r="AA236" s="4">
        <f t="shared" si="18"/>
        <v>-0.0116628411476557</v>
      </c>
    </row>
    <row r="237" s="4" customFormat="1" ht="15" customHeight="1" spans="1:27">
      <c r="A237" s="6" t="s">
        <v>69</v>
      </c>
      <c r="B237" s="1">
        <v>27</v>
      </c>
      <c r="C237" s="1">
        <v>1.1183</v>
      </c>
      <c r="D237" s="1">
        <v>17.385</v>
      </c>
      <c r="E237" s="1">
        <v>0.3826</v>
      </c>
      <c r="F237" s="1">
        <v>2.188</v>
      </c>
      <c r="G237" s="1">
        <f t="shared" si="15"/>
        <v>-0.140938655211681</v>
      </c>
      <c r="W237" s="8"/>
      <c r="X237" s="4">
        <f t="shared" si="16"/>
        <v>-0.0129455398457582</v>
      </c>
      <c r="Y237" s="4">
        <f t="shared" si="17"/>
        <v>-0.0877832795497186</v>
      </c>
      <c r="Z237" s="4">
        <f t="shared" si="19"/>
        <v>-0.0221365677966102</v>
      </c>
      <c r="AA237" s="4">
        <f t="shared" si="18"/>
        <v>-0.0180732680195941</v>
      </c>
    </row>
    <row r="238" s="4" customFormat="1" ht="15" customHeight="1" spans="1:27">
      <c r="A238" s="6" t="s">
        <v>69</v>
      </c>
      <c r="B238" s="1">
        <v>27</v>
      </c>
      <c r="C238" s="1">
        <v>1.165</v>
      </c>
      <c r="D238" s="1">
        <v>18.106</v>
      </c>
      <c r="E238" s="1">
        <v>0.3492</v>
      </c>
      <c r="F238" s="1">
        <v>2.118</v>
      </c>
      <c r="G238" s="1">
        <f t="shared" si="15"/>
        <v>-0.146740927000535</v>
      </c>
      <c r="H238" s="11"/>
      <c r="W238" s="8" t="s">
        <v>70</v>
      </c>
      <c r="X238" s="4">
        <f t="shared" si="16"/>
        <v>0.022784762210797</v>
      </c>
      <c r="Y238" s="4">
        <f t="shared" si="17"/>
        <v>-0.107316562851782</v>
      </c>
      <c r="Z238" s="4">
        <f t="shared" si="19"/>
        <v>-0.0470308898305085</v>
      </c>
      <c r="AA238" s="4">
        <f t="shared" si="18"/>
        <v>-0.0151782365290413</v>
      </c>
    </row>
    <row r="239" s="4" customFormat="1" ht="15" customHeight="1" spans="1:27">
      <c r="A239" s="6" t="s">
        <v>69</v>
      </c>
      <c r="B239" s="1">
        <v>27</v>
      </c>
      <c r="C239" s="1">
        <v>1.138</v>
      </c>
      <c r="D239" s="1">
        <v>18.751</v>
      </c>
      <c r="E239" s="1">
        <v>0.3873</v>
      </c>
      <c r="F239" s="1">
        <v>2.174</v>
      </c>
      <c r="G239" s="1">
        <f t="shared" si="15"/>
        <v>-0.158791609723627</v>
      </c>
      <c r="X239" s="4">
        <f t="shared" si="16"/>
        <v>0.00212698586118252</v>
      </c>
      <c r="Y239" s="4">
        <f t="shared" si="17"/>
        <v>-0.124790859287054</v>
      </c>
      <c r="Z239" s="4">
        <f t="shared" si="19"/>
        <v>-0.0186334745762712</v>
      </c>
      <c r="AA239" s="4">
        <f t="shared" si="18"/>
        <v>-0.0174942617214836</v>
      </c>
    </row>
    <row r="240" s="4" customFormat="1" ht="15" customHeight="1" spans="1:27">
      <c r="A240" s="6" t="s">
        <v>69</v>
      </c>
      <c r="B240" s="1">
        <v>27</v>
      </c>
      <c r="C240" s="1">
        <v>1.0775</v>
      </c>
      <c r="D240" s="1">
        <v>16.998</v>
      </c>
      <c r="E240" s="1">
        <v>0.3938</v>
      </c>
      <c r="F240" s="1">
        <v>2.019</v>
      </c>
      <c r="G240" s="1">
        <f t="shared" si="15"/>
        <v>-0.14633304294305</v>
      </c>
      <c r="W240" s="8"/>
      <c r="X240" s="4">
        <f t="shared" si="16"/>
        <v>-0.044161735218509</v>
      </c>
      <c r="Y240" s="4">
        <f t="shared" si="17"/>
        <v>-0.0772987016885554</v>
      </c>
      <c r="Z240" s="4">
        <f t="shared" si="19"/>
        <v>-0.0137887711864407</v>
      </c>
      <c r="AA240" s="4">
        <f t="shared" si="18"/>
        <v>-0.0110838348495451</v>
      </c>
    </row>
    <row r="241" s="4" customFormat="1" ht="15" customHeight="1" spans="1:27">
      <c r="A241" s="6" t="s">
        <v>69</v>
      </c>
      <c r="B241" s="1">
        <v>27</v>
      </c>
      <c r="C241" s="1">
        <v>1.0684</v>
      </c>
      <c r="D241" s="1">
        <v>18.812</v>
      </c>
      <c r="E241" s="1">
        <v>0.3526</v>
      </c>
      <c r="F241" s="1">
        <v>2.369</v>
      </c>
      <c r="G241" s="1">
        <f t="shared" si="15"/>
        <v>-0.247623367708581</v>
      </c>
      <c r="W241" s="8"/>
      <c r="X241" s="4">
        <f t="shared" si="16"/>
        <v>-0.0511241709511567</v>
      </c>
      <c r="Y241" s="4">
        <f t="shared" si="17"/>
        <v>-0.126443467166979</v>
      </c>
      <c r="Z241" s="4">
        <f t="shared" si="19"/>
        <v>-0.0444967372881356</v>
      </c>
      <c r="AA241" s="4">
        <f t="shared" si="18"/>
        <v>-0.0255589923023093</v>
      </c>
    </row>
    <row r="242" s="4" customFormat="1" ht="15" customHeight="1" spans="1:27">
      <c r="A242" s="6" t="s">
        <v>69</v>
      </c>
      <c r="B242" s="1">
        <v>27</v>
      </c>
      <c r="C242" s="1">
        <v>1.1479</v>
      </c>
      <c r="D242" s="1">
        <v>18.672</v>
      </c>
      <c r="E242" s="1">
        <v>0.3663</v>
      </c>
      <c r="F242" s="1">
        <v>2.182</v>
      </c>
      <c r="G242" s="1">
        <f t="shared" si="15"/>
        <v>-0.165059808450448</v>
      </c>
      <c r="W242" s="8"/>
      <c r="X242" s="4">
        <f t="shared" si="16"/>
        <v>0.00970150385604115</v>
      </c>
      <c r="Y242" s="4">
        <f t="shared" si="17"/>
        <v>-0.122650596622889</v>
      </c>
      <c r="Z242" s="4">
        <f t="shared" si="19"/>
        <v>-0.034285593220339</v>
      </c>
      <c r="AA242" s="4">
        <f t="shared" si="18"/>
        <v>-0.017825122463261</v>
      </c>
    </row>
    <row r="243" s="4" customFormat="1" ht="15" customHeight="1" spans="1:27">
      <c r="A243" s="6" t="s">
        <v>69</v>
      </c>
      <c r="B243" s="1">
        <v>27</v>
      </c>
      <c r="C243" s="1">
        <v>1.0996</v>
      </c>
      <c r="D243" s="1">
        <v>18.86</v>
      </c>
      <c r="E243" s="1">
        <v>0.3262</v>
      </c>
      <c r="F243" s="1">
        <v>2.221</v>
      </c>
      <c r="G243" s="1">
        <f t="shared" si="15"/>
        <v>-0.238608597669993</v>
      </c>
      <c r="W243" s="8"/>
      <c r="X243" s="4">
        <f t="shared" si="16"/>
        <v>-0.0272529627249357</v>
      </c>
      <c r="Y243" s="4">
        <f t="shared" si="17"/>
        <v>-0.127743879924953</v>
      </c>
      <c r="Z243" s="4">
        <f t="shared" si="19"/>
        <v>-0.064173686440678</v>
      </c>
      <c r="AA243" s="4">
        <f t="shared" si="18"/>
        <v>-0.0194380685794262</v>
      </c>
    </row>
    <row r="244" s="4" customFormat="1" ht="15" customHeight="1" spans="1:27">
      <c r="A244" s="6" t="s">
        <v>69</v>
      </c>
      <c r="B244" s="1">
        <v>27</v>
      </c>
      <c r="C244" s="1">
        <v>1.1143</v>
      </c>
      <c r="D244" s="1">
        <v>18.508</v>
      </c>
      <c r="E244" s="1">
        <v>0.3202</v>
      </c>
      <c r="F244" s="1">
        <v>2.435</v>
      </c>
      <c r="G244" s="1">
        <f t="shared" si="15"/>
        <v>-0.231147784617581</v>
      </c>
      <c r="W244" s="8"/>
      <c r="X244" s="4">
        <f t="shared" si="16"/>
        <v>-0.0160059511568122</v>
      </c>
      <c r="Y244" s="4">
        <f t="shared" si="17"/>
        <v>-0.118207519699812</v>
      </c>
      <c r="Z244" s="4">
        <f t="shared" si="19"/>
        <v>-0.0686457203389831</v>
      </c>
      <c r="AA244" s="4">
        <f t="shared" si="18"/>
        <v>-0.0282885934219734</v>
      </c>
    </row>
    <row r="245" s="4" customFormat="1" ht="15" customHeight="1" spans="1:27">
      <c r="A245" s="6" t="s">
        <v>71</v>
      </c>
      <c r="B245" s="1">
        <v>28</v>
      </c>
      <c r="C245" s="1">
        <v>1.2155</v>
      </c>
      <c r="D245" s="1">
        <v>14.067</v>
      </c>
      <c r="E245" s="1">
        <v>0.3892</v>
      </c>
      <c r="F245" s="1">
        <v>2.395</v>
      </c>
      <c r="G245" s="1">
        <f t="shared" si="15"/>
        <v>0.0196785871365087</v>
      </c>
      <c r="W245" s="8"/>
      <c r="X245" s="4">
        <f t="shared" si="16"/>
        <v>0.0614224550128536</v>
      </c>
      <c r="Y245" s="4">
        <f t="shared" si="17"/>
        <v>0.00210775234521576</v>
      </c>
      <c r="Z245" s="4">
        <f t="shared" si="19"/>
        <v>-0.0172173305084746</v>
      </c>
      <c r="AA245" s="4">
        <f t="shared" si="18"/>
        <v>-0.0266342897130861</v>
      </c>
    </row>
    <row r="246" s="4" customFormat="1" ht="15" customHeight="1" spans="1:27">
      <c r="A246" s="6" t="s">
        <v>71</v>
      </c>
      <c r="B246" s="1">
        <v>28</v>
      </c>
      <c r="C246" s="1">
        <v>1.2</v>
      </c>
      <c r="D246" s="1">
        <v>12.904</v>
      </c>
      <c r="E246" s="1">
        <v>0.4112</v>
      </c>
      <c r="F246" s="1">
        <v>2.587</v>
      </c>
      <c r="G246" s="1">
        <f t="shared" si="15"/>
        <v>0.0477842105790391</v>
      </c>
      <c r="W246" s="8"/>
      <c r="X246" s="4">
        <f t="shared" si="16"/>
        <v>0.0495633611825193</v>
      </c>
      <c r="Y246" s="4">
        <f t="shared" si="17"/>
        <v>0.033615669793621</v>
      </c>
      <c r="Z246" s="4">
        <f t="shared" si="19"/>
        <v>-0.000819872881355925</v>
      </c>
      <c r="AA246" s="4">
        <f t="shared" si="18"/>
        <v>-0.0345749475157453</v>
      </c>
    </row>
    <row r="247" s="4" customFormat="1" ht="15" customHeight="1" spans="1:27">
      <c r="A247" s="6" t="s">
        <v>71</v>
      </c>
      <c r="B247" s="1">
        <v>28</v>
      </c>
      <c r="C247" s="1">
        <v>1.291</v>
      </c>
      <c r="D247" s="1">
        <v>13.812</v>
      </c>
      <c r="E247" s="1">
        <v>0.3409</v>
      </c>
      <c r="F247" s="1">
        <v>2.601</v>
      </c>
      <c r="G247" s="1">
        <f t="shared" si="15"/>
        <v>0.0398327564272623</v>
      </c>
      <c r="H247" s="7"/>
      <c r="W247" s="8" t="s">
        <v>72</v>
      </c>
      <c r="X247" s="4">
        <f t="shared" si="16"/>
        <v>0.119187718508997</v>
      </c>
      <c r="Y247" s="4">
        <f t="shared" si="17"/>
        <v>0.00901619512195124</v>
      </c>
      <c r="Z247" s="4">
        <f t="shared" si="19"/>
        <v>-0.0532172033898305</v>
      </c>
      <c r="AA247" s="4">
        <f t="shared" si="18"/>
        <v>-0.0351539538138558</v>
      </c>
    </row>
    <row r="248" s="4" customFormat="1" ht="15" customHeight="1" spans="1:27">
      <c r="A248" s="6" t="s">
        <v>71</v>
      </c>
      <c r="B248" s="1">
        <v>28</v>
      </c>
      <c r="C248" s="1">
        <v>1.2431</v>
      </c>
      <c r="D248" s="1">
        <v>13.281</v>
      </c>
      <c r="E248" s="1">
        <v>0.371</v>
      </c>
      <c r="F248" s="1">
        <v>2.563</v>
      </c>
      <c r="G248" s="1">
        <f t="shared" si="15"/>
        <v>0.0415764390257488</v>
      </c>
      <c r="X248" s="4">
        <f t="shared" si="16"/>
        <v>0.0825392930591261</v>
      </c>
      <c r="Y248" s="4">
        <f t="shared" si="17"/>
        <v>0.0234020112570356</v>
      </c>
      <c r="Z248" s="4">
        <f t="shared" si="19"/>
        <v>-0.0307825</v>
      </c>
      <c r="AA248" s="4">
        <f t="shared" si="18"/>
        <v>-0.0335823652904129</v>
      </c>
    </row>
    <row r="249" s="4" customFormat="1" ht="15" customHeight="1" spans="1:27">
      <c r="A249" s="6" t="s">
        <v>71</v>
      </c>
      <c r="B249" s="1">
        <v>28</v>
      </c>
      <c r="C249" s="1">
        <v>1.3184</v>
      </c>
      <c r="D249" s="1">
        <v>15.117</v>
      </c>
      <c r="E249" s="1">
        <v>0.3917</v>
      </c>
      <c r="F249" s="1">
        <v>2.607</v>
      </c>
      <c r="G249" s="1">
        <f t="shared" si="15"/>
        <v>0.0630566768332212</v>
      </c>
      <c r="W249" s="8"/>
      <c r="X249" s="4">
        <f t="shared" si="16"/>
        <v>0.140151535989717</v>
      </c>
      <c r="Y249" s="4">
        <f t="shared" si="17"/>
        <v>-0.0263387767354597</v>
      </c>
      <c r="Z249" s="4">
        <f t="shared" si="19"/>
        <v>-0.0153539830508475</v>
      </c>
      <c r="AA249" s="4">
        <f t="shared" si="18"/>
        <v>-0.035402099370189</v>
      </c>
    </row>
    <row r="250" s="4" customFormat="1" ht="15" customHeight="1" spans="1:27">
      <c r="A250" s="6" t="s">
        <v>71</v>
      </c>
      <c r="B250" s="1">
        <v>28</v>
      </c>
      <c r="C250" s="1">
        <v>1.2185</v>
      </c>
      <c r="D250" s="1">
        <v>15.285</v>
      </c>
      <c r="E250" s="1">
        <v>0.3867</v>
      </c>
      <c r="F250" s="1">
        <v>2.26</v>
      </c>
      <c r="G250" s="1">
        <f t="shared" si="15"/>
        <v>-0.00730415055391679</v>
      </c>
      <c r="W250" s="8"/>
      <c r="X250" s="4">
        <f t="shared" si="16"/>
        <v>0.063717763496144</v>
      </c>
      <c r="Y250" s="4">
        <f t="shared" si="17"/>
        <v>-0.0308902213883677</v>
      </c>
      <c r="Z250" s="4">
        <f t="shared" si="19"/>
        <v>-0.0190806779661017</v>
      </c>
      <c r="AA250" s="4">
        <f t="shared" si="18"/>
        <v>-0.0210510146955913</v>
      </c>
    </row>
    <row r="251" s="4" customFormat="1" ht="15" customHeight="1" spans="1:27">
      <c r="A251" s="6" t="s">
        <v>71</v>
      </c>
      <c r="B251" s="1">
        <v>28</v>
      </c>
      <c r="C251" s="1">
        <v>1.1891</v>
      </c>
      <c r="D251" s="1">
        <v>13.932</v>
      </c>
      <c r="E251" s="1">
        <v>0.3554</v>
      </c>
      <c r="F251" s="1">
        <v>1.848</v>
      </c>
      <c r="G251" s="1">
        <f t="shared" si="15"/>
        <v>0.000567428957269141</v>
      </c>
      <c r="W251" s="8"/>
      <c r="X251" s="4">
        <f t="shared" si="16"/>
        <v>0.0412237403598973</v>
      </c>
      <c r="Y251" s="4">
        <f t="shared" si="17"/>
        <v>0.00576516322701688</v>
      </c>
      <c r="Z251" s="4">
        <f t="shared" si="19"/>
        <v>-0.0424097881355932</v>
      </c>
      <c r="AA251" s="4">
        <f t="shared" si="18"/>
        <v>-0.00401168649405179</v>
      </c>
    </row>
    <row r="252" s="4" customFormat="1" ht="15" customHeight="1" spans="1:27">
      <c r="A252" s="6" t="s">
        <v>71</v>
      </c>
      <c r="B252" s="1">
        <v>28</v>
      </c>
      <c r="C252" s="1">
        <v>1.2986</v>
      </c>
      <c r="D252" s="1">
        <v>14.356</v>
      </c>
      <c r="E252" s="1">
        <v>0.486</v>
      </c>
      <c r="F252" s="1">
        <v>1.92</v>
      </c>
      <c r="G252" s="1">
        <f t="shared" si="15"/>
        <v>0.167222733745714</v>
      </c>
      <c r="W252" s="8"/>
      <c r="X252" s="4">
        <f t="shared" si="16"/>
        <v>0.1250025</v>
      </c>
      <c r="Y252" s="4">
        <f t="shared" si="17"/>
        <v>-0.00572181613508442</v>
      </c>
      <c r="Z252" s="4">
        <f t="shared" si="19"/>
        <v>0.0549314830508475</v>
      </c>
      <c r="AA252" s="4">
        <f t="shared" si="18"/>
        <v>-0.00698943317004899</v>
      </c>
    </row>
    <row r="253" s="4" customFormat="1" ht="15" customHeight="1" spans="1:27">
      <c r="A253" s="6" t="s">
        <v>71</v>
      </c>
      <c r="B253" s="1">
        <v>28</v>
      </c>
      <c r="C253" s="1">
        <v>1.2107</v>
      </c>
      <c r="D253" s="1">
        <v>15.468</v>
      </c>
      <c r="E253" s="1">
        <v>0.3964</v>
      </c>
      <c r="F253" s="1">
        <v>2.107</v>
      </c>
      <c r="G253" s="1">
        <f t="shared" si="15"/>
        <v>-0.00467227642815952</v>
      </c>
      <c r="W253" s="8"/>
      <c r="X253" s="4">
        <f t="shared" si="16"/>
        <v>0.0577499614395888</v>
      </c>
      <c r="Y253" s="4">
        <f t="shared" si="17"/>
        <v>-0.0358480450281426</v>
      </c>
      <c r="Z253" s="4">
        <f t="shared" si="19"/>
        <v>-0.0118508898305085</v>
      </c>
      <c r="AA253" s="4">
        <f t="shared" si="18"/>
        <v>-0.0147233030090973</v>
      </c>
    </row>
    <row r="254" s="4" customFormat="1" ht="15" customHeight="1" spans="1:27">
      <c r="A254" s="6" t="s">
        <v>73</v>
      </c>
      <c r="B254" s="1">
        <v>29</v>
      </c>
      <c r="C254" s="1">
        <v>1.1803</v>
      </c>
      <c r="D254" s="1">
        <v>16.282</v>
      </c>
      <c r="E254" s="1">
        <v>0.3509</v>
      </c>
      <c r="F254" s="1">
        <v>2.138</v>
      </c>
      <c r="G254" s="1">
        <f t="shared" si="15"/>
        <v>-0.0851792445160091</v>
      </c>
      <c r="W254" s="8"/>
      <c r="X254" s="4">
        <f t="shared" si="16"/>
        <v>0.0344908354755784</v>
      </c>
      <c r="Y254" s="4">
        <f t="shared" si="17"/>
        <v>-0.0579008780487805</v>
      </c>
      <c r="Z254" s="4">
        <f t="shared" si="19"/>
        <v>-0.045763813559322</v>
      </c>
      <c r="AA254" s="4">
        <f t="shared" si="18"/>
        <v>-0.016005388383485</v>
      </c>
    </row>
    <row r="255" s="4" customFormat="1" ht="15" customHeight="1" spans="1:27">
      <c r="A255" s="6" t="s">
        <v>73</v>
      </c>
      <c r="B255" s="1">
        <v>29</v>
      </c>
      <c r="C255" s="1">
        <v>1.2449</v>
      </c>
      <c r="D255" s="1">
        <v>15.248</v>
      </c>
      <c r="E255" s="1">
        <v>0.3479</v>
      </c>
      <c r="F255" s="1">
        <v>2.056</v>
      </c>
      <c r="G255" s="1">
        <f t="shared" si="15"/>
        <v>-0.00658523802706989</v>
      </c>
      <c r="W255" s="8"/>
      <c r="X255" s="4">
        <f t="shared" si="16"/>
        <v>0.0839164781491002</v>
      </c>
      <c r="Y255" s="4">
        <f t="shared" si="17"/>
        <v>-0.0298878198874296</v>
      </c>
      <c r="Z255" s="4">
        <f t="shared" si="19"/>
        <v>-0.0479998305084746</v>
      </c>
      <c r="AA255" s="4">
        <f t="shared" si="18"/>
        <v>-0.0126140657802659</v>
      </c>
    </row>
    <row r="256" s="4" customFormat="1" ht="15" customHeight="1" spans="1:27">
      <c r="A256" s="6" t="s">
        <v>73</v>
      </c>
      <c r="B256" s="1">
        <v>29</v>
      </c>
      <c r="C256" s="1">
        <v>1.265</v>
      </c>
      <c r="D256" s="1">
        <v>16.372</v>
      </c>
      <c r="E256" s="1">
        <v>0.3796</v>
      </c>
      <c r="F256" s="1">
        <v>1.973</v>
      </c>
      <c r="G256" s="1">
        <f t="shared" si="15"/>
        <v>0.00540192268707786</v>
      </c>
      <c r="H256" s="7"/>
      <c r="W256" s="8" t="s">
        <v>74</v>
      </c>
      <c r="X256" s="4">
        <f t="shared" si="16"/>
        <v>0.0992950449871465</v>
      </c>
      <c r="Y256" s="4">
        <f t="shared" si="17"/>
        <v>-0.0603391519699812</v>
      </c>
      <c r="Z256" s="4">
        <f t="shared" si="19"/>
        <v>-0.0243725847457627</v>
      </c>
      <c r="AA256" s="4">
        <f t="shared" si="18"/>
        <v>-0.00918138558432471</v>
      </c>
    </row>
    <row r="257" s="4" customFormat="1" ht="15" customHeight="1" spans="1:27">
      <c r="A257" s="6" t="s">
        <v>73</v>
      </c>
      <c r="B257" s="1">
        <v>29</v>
      </c>
      <c r="C257" s="1">
        <v>1.2837</v>
      </c>
      <c r="D257" s="1">
        <v>17.1</v>
      </c>
      <c r="E257" s="1">
        <v>0.3823</v>
      </c>
      <c r="F257" s="1">
        <v>2.171</v>
      </c>
      <c r="G257" s="1">
        <f t="shared" si="15"/>
        <v>-0.006189969367768</v>
      </c>
      <c r="X257" s="4">
        <f t="shared" si="16"/>
        <v>0.113602467866324</v>
      </c>
      <c r="Y257" s="4">
        <f t="shared" si="17"/>
        <v>-0.0800620787992496</v>
      </c>
      <c r="Z257" s="4">
        <f t="shared" si="19"/>
        <v>-0.0223601694915254</v>
      </c>
      <c r="AA257" s="4">
        <f t="shared" si="18"/>
        <v>-0.017370188943317</v>
      </c>
    </row>
    <row r="258" s="4" customFormat="1" ht="15" customHeight="1" spans="1:27">
      <c r="A258" s="6" t="s">
        <v>73</v>
      </c>
      <c r="B258" s="1">
        <v>29</v>
      </c>
      <c r="C258" s="1">
        <v>1.1634</v>
      </c>
      <c r="D258" s="1">
        <v>17.042</v>
      </c>
      <c r="E258" s="1">
        <v>0.3626</v>
      </c>
      <c r="F258" s="1">
        <v>1.998</v>
      </c>
      <c r="G258" s="1">
        <f t="shared" ref="G258:G321" si="20">SUM(X258,Y258,Z258,AA258)</f>
        <v>-0.104188821890329</v>
      </c>
      <c r="W258" s="8"/>
      <c r="X258" s="4">
        <f t="shared" ref="X258:X321" si="21">(C258-S$2)/N$2*I$2</f>
        <v>0.0215605976863754</v>
      </c>
      <c r="Y258" s="4">
        <f t="shared" ref="Y258:Y321" si="22">(T$2-D258)/O$2*J$2</f>
        <v>-0.078490746716698</v>
      </c>
      <c r="Z258" s="4">
        <f t="shared" si="19"/>
        <v>-0.0370433474576271</v>
      </c>
      <c r="AA258" s="4">
        <f t="shared" ref="AA258:AA321" si="23">(V$2-F258)/Q$2*L$2</f>
        <v>-0.0102153254023793</v>
      </c>
    </row>
    <row r="259" s="4" customFormat="1" ht="15" customHeight="1" spans="1:27">
      <c r="A259" s="6" t="s">
        <v>73</v>
      </c>
      <c r="B259" s="1">
        <v>29</v>
      </c>
      <c r="C259" s="1">
        <v>1.2607</v>
      </c>
      <c r="D259" s="1">
        <v>14.531</v>
      </c>
      <c r="E259" s="1">
        <v>0.356</v>
      </c>
      <c r="F259" s="1">
        <v>1.762</v>
      </c>
      <c r="G259" s="1">
        <f t="shared" si="20"/>
        <v>0.0431246802468598</v>
      </c>
      <c r="W259" s="8"/>
      <c r="X259" s="4">
        <f t="shared" si="21"/>
        <v>0.0960051028277635</v>
      </c>
      <c r="Y259" s="4">
        <f t="shared" si="22"/>
        <v>-0.010462904315197</v>
      </c>
      <c r="Z259" s="4">
        <f t="shared" si="19"/>
        <v>-0.0419625847457627</v>
      </c>
      <c r="AA259" s="4">
        <f t="shared" si="23"/>
        <v>-0.000454933519944022</v>
      </c>
    </row>
    <row r="260" s="4" customFormat="1" ht="15" customHeight="1" spans="1:27">
      <c r="A260" s="6" t="s">
        <v>73</v>
      </c>
      <c r="B260" s="1">
        <v>29</v>
      </c>
      <c r="C260" s="1">
        <v>1.1064</v>
      </c>
      <c r="D260" s="1">
        <v>17.474</v>
      </c>
      <c r="E260" s="1">
        <v>0.3075</v>
      </c>
      <c r="F260" s="1">
        <v>2.11</v>
      </c>
      <c r="G260" s="1">
        <f t="shared" si="20"/>
        <v>-0.205203626245598</v>
      </c>
      <c r="W260" s="8"/>
      <c r="X260" s="4">
        <f t="shared" si="21"/>
        <v>-0.0220502634961438</v>
      </c>
      <c r="Y260" s="4">
        <f t="shared" si="22"/>
        <v>-0.0901944615384615</v>
      </c>
      <c r="Z260" s="4">
        <f t="shared" si="19"/>
        <v>-0.0781115254237288</v>
      </c>
      <c r="AA260" s="4">
        <f t="shared" si="23"/>
        <v>-0.0148473757872638</v>
      </c>
    </row>
    <row r="261" s="4" customFormat="1" ht="15" customHeight="1" spans="1:27">
      <c r="A261" s="6" t="s">
        <v>73</v>
      </c>
      <c r="B261" s="1">
        <v>29</v>
      </c>
      <c r="C261" s="1">
        <v>1.2272</v>
      </c>
      <c r="D261" s="1">
        <v>15.4</v>
      </c>
      <c r="E261" s="1">
        <v>0.3657</v>
      </c>
      <c r="F261" s="1">
        <v>2.05</v>
      </c>
      <c r="G261" s="1">
        <f t="shared" si="20"/>
        <v>-0.0107303523574289</v>
      </c>
      <c r="W261" s="8"/>
      <c r="X261" s="4">
        <f t="shared" si="21"/>
        <v>0.0703741580976865</v>
      </c>
      <c r="Y261" s="4">
        <f t="shared" si="22"/>
        <v>-0.0340057936210131</v>
      </c>
      <c r="Z261" s="4">
        <f t="shared" si="19"/>
        <v>-0.0347327966101695</v>
      </c>
      <c r="AA261" s="4">
        <f t="shared" si="23"/>
        <v>-0.0123659202239328</v>
      </c>
    </row>
    <row r="262" s="4" customFormat="1" ht="15" customHeight="1" spans="1:27">
      <c r="A262" s="6" t="s">
        <v>73</v>
      </c>
      <c r="B262" s="1">
        <v>29</v>
      </c>
      <c r="C262" s="1">
        <v>1.2224</v>
      </c>
      <c r="D262" s="1">
        <v>16.056</v>
      </c>
      <c r="E262" s="1">
        <v>0.3753</v>
      </c>
      <c r="F262" s="1">
        <v>2.01</v>
      </c>
      <c r="G262" s="1">
        <f t="shared" si="20"/>
        <v>-0.0233655956768261</v>
      </c>
      <c r="W262" s="8"/>
      <c r="X262" s="4">
        <f t="shared" si="21"/>
        <v>0.0667016645244216</v>
      </c>
      <c r="Y262" s="4">
        <f t="shared" si="22"/>
        <v>-0.0517781013133209</v>
      </c>
      <c r="Z262" s="4">
        <f t="shared" si="19"/>
        <v>-0.0275775423728813</v>
      </c>
      <c r="AA262" s="4">
        <f t="shared" si="23"/>
        <v>-0.0107116165150455</v>
      </c>
    </row>
    <row r="263" s="4" customFormat="1" ht="15" customHeight="1" spans="1:27">
      <c r="A263" s="6" t="s">
        <v>75</v>
      </c>
      <c r="B263" s="1">
        <v>30</v>
      </c>
      <c r="C263" s="1">
        <v>1.1622</v>
      </c>
      <c r="D263" s="1">
        <v>17.87</v>
      </c>
      <c r="E263" s="1">
        <v>0.347</v>
      </c>
      <c r="F263" s="1">
        <v>2.108</v>
      </c>
      <c r="G263" s="1">
        <f t="shared" si="20"/>
        <v>-0.143715688693726</v>
      </c>
      <c r="W263" s="8"/>
      <c r="X263" s="4">
        <f t="shared" si="21"/>
        <v>0.0206424742930591</v>
      </c>
      <c r="Y263" s="4">
        <f t="shared" si="22"/>
        <v>-0.100922866791745</v>
      </c>
      <c r="Z263" s="4">
        <f t="shared" si="19"/>
        <v>-0.0486706355932204</v>
      </c>
      <c r="AA263" s="4">
        <f t="shared" si="23"/>
        <v>-0.0147646606018195</v>
      </c>
    </row>
    <row r="264" s="4" customFormat="1" ht="15" customHeight="1" spans="1:27">
      <c r="A264" s="6" t="s">
        <v>75</v>
      </c>
      <c r="B264" s="1">
        <v>30</v>
      </c>
      <c r="C264" s="1">
        <v>1.1429</v>
      </c>
      <c r="D264" s="1">
        <v>16.825</v>
      </c>
      <c r="E264" s="1">
        <v>0.3656</v>
      </c>
      <c r="F264" s="1">
        <v>2.137</v>
      </c>
      <c r="G264" s="1">
        <f t="shared" si="20"/>
        <v>-0.117507168955372</v>
      </c>
      <c r="W264" s="8"/>
      <c r="X264" s="4">
        <f t="shared" si="21"/>
        <v>0.00587598971722375</v>
      </c>
      <c r="Y264" s="4">
        <f t="shared" si="22"/>
        <v>-0.0726117973733583</v>
      </c>
      <c r="Z264" s="4">
        <f t="shared" si="19"/>
        <v>-0.0348073305084746</v>
      </c>
      <c r="AA264" s="4">
        <f t="shared" si="23"/>
        <v>-0.0159640307907628</v>
      </c>
    </row>
    <row r="265" s="4" customFormat="1" ht="15" customHeight="1" spans="1:27">
      <c r="A265" s="6" t="s">
        <v>75</v>
      </c>
      <c r="B265" s="1">
        <v>30</v>
      </c>
      <c r="C265" s="1">
        <v>1.2334</v>
      </c>
      <c r="D265" s="1">
        <v>18.782</v>
      </c>
      <c r="E265" s="1">
        <v>0.3224</v>
      </c>
      <c r="F265" s="1">
        <v>2.199</v>
      </c>
      <c r="G265" s="1">
        <f t="shared" si="20"/>
        <v>-0.136047089679235</v>
      </c>
      <c r="W265" s="8"/>
      <c r="X265" s="4">
        <f t="shared" si="21"/>
        <v>0.0751177956298202</v>
      </c>
      <c r="Y265" s="4">
        <f t="shared" si="22"/>
        <v>-0.125630709193246</v>
      </c>
      <c r="Z265" s="4">
        <f t="shared" si="19"/>
        <v>-0.0670059745762712</v>
      </c>
      <c r="AA265" s="4">
        <f t="shared" si="23"/>
        <v>-0.0185282015395381</v>
      </c>
    </row>
    <row r="266" s="4" customFormat="1" ht="15" customHeight="1" spans="1:27">
      <c r="A266" s="6" t="s">
        <v>75</v>
      </c>
      <c r="B266" s="1">
        <v>30</v>
      </c>
      <c r="C266" s="1">
        <v>1.1456</v>
      </c>
      <c r="D266" s="1">
        <v>16.014</v>
      </c>
      <c r="E266" s="1">
        <v>0.3777</v>
      </c>
      <c r="F266" s="1">
        <v>1.996</v>
      </c>
      <c r="G266" s="1">
        <f t="shared" si="20"/>
        <v>-0.0786198118284029</v>
      </c>
      <c r="H266" s="7"/>
      <c r="W266" s="8" t="s">
        <v>76</v>
      </c>
      <c r="X266" s="4">
        <f t="shared" si="21"/>
        <v>0.00794176735218513</v>
      </c>
      <c r="Y266" s="4">
        <f t="shared" si="22"/>
        <v>-0.0506402401500938</v>
      </c>
      <c r="Z266" s="4">
        <f t="shared" si="19"/>
        <v>-0.0257887288135593</v>
      </c>
      <c r="AA266" s="4">
        <f t="shared" si="23"/>
        <v>-0.0101326102169349</v>
      </c>
    </row>
    <row r="267" s="4" customFormat="1" ht="15" customHeight="1" spans="1:27">
      <c r="A267" s="6" t="s">
        <v>75</v>
      </c>
      <c r="B267" s="1">
        <v>30</v>
      </c>
      <c r="C267" s="1">
        <v>1.2156</v>
      </c>
      <c r="D267" s="1">
        <v>16.635</v>
      </c>
      <c r="E267" s="1">
        <v>0.3378</v>
      </c>
      <c r="F267" s="1">
        <v>1.97</v>
      </c>
      <c r="G267" s="1">
        <f t="shared" si="20"/>
        <v>-0.0705504319541954</v>
      </c>
      <c r="W267" s="8"/>
      <c r="X267" s="4">
        <f t="shared" si="21"/>
        <v>0.0614989652956299</v>
      </c>
      <c r="Y267" s="4">
        <f t="shared" si="22"/>
        <v>-0.067464330206379</v>
      </c>
      <c r="Z267" s="4">
        <f t="shared" si="19"/>
        <v>-0.0555277542372881</v>
      </c>
      <c r="AA267" s="4">
        <f t="shared" si="23"/>
        <v>-0.00905731280615816</v>
      </c>
    </row>
    <row r="268" s="4" customFormat="1" ht="15" customHeight="1" spans="1:27">
      <c r="A268" s="6" t="s">
        <v>75</v>
      </c>
      <c r="B268" s="1">
        <v>30</v>
      </c>
      <c r="C268" s="1">
        <v>1.1569</v>
      </c>
      <c r="D268" s="1">
        <v>17.022</v>
      </c>
      <c r="E268" s="1">
        <v>0.3438</v>
      </c>
      <c r="F268" s="1">
        <v>1.982</v>
      </c>
      <c r="G268" s="1">
        <f t="shared" si="20"/>
        <v>-0.121970803019437</v>
      </c>
      <c r="W268" s="8"/>
      <c r="X268" s="4">
        <f t="shared" si="21"/>
        <v>0.0165874293059127</v>
      </c>
      <c r="Y268" s="4">
        <f t="shared" si="22"/>
        <v>-0.0779489080675422</v>
      </c>
      <c r="Z268" s="4">
        <f t="shared" si="19"/>
        <v>-0.0510557203389831</v>
      </c>
      <c r="AA268" s="4">
        <f t="shared" si="23"/>
        <v>-0.00955360391882436</v>
      </c>
    </row>
    <row r="269" s="4" customFormat="1" ht="15" customHeight="1" spans="1:27">
      <c r="A269" s="6" t="s">
        <v>75</v>
      </c>
      <c r="B269" s="1">
        <v>30</v>
      </c>
      <c r="C269" s="1">
        <v>1.1348</v>
      </c>
      <c r="D269" s="1">
        <v>16.313</v>
      </c>
      <c r="E269" s="1">
        <v>0.3808</v>
      </c>
      <c r="F269" s="1">
        <v>1.89</v>
      </c>
      <c r="G269" s="1">
        <f t="shared" si="20"/>
        <v>-0.0882889544971175</v>
      </c>
      <c r="W269" s="8"/>
      <c r="X269" s="4">
        <f t="shared" si="21"/>
        <v>-0.000321343187660565</v>
      </c>
      <c r="Y269" s="4">
        <f t="shared" si="22"/>
        <v>-0.0587407279549718</v>
      </c>
      <c r="Z269" s="4">
        <f t="shared" si="19"/>
        <v>-0.0234781779661017</v>
      </c>
      <c r="AA269" s="4">
        <f t="shared" si="23"/>
        <v>-0.00574870538838349</v>
      </c>
    </row>
    <row r="270" s="4" customFormat="1" ht="15" customHeight="1" spans="1:27">
      <c r="A270" s="6" t="s">
        <v>75</v>
      </c>
      <c r="B270" s="1">
        <v>30</v>
      </c>
      <c r="C270" s="1">
        <v>1.1534</v>
      </c>
      <c r="D270" s="1">
        <v>16.804</v>
      </c>
      <c r="E270" s="1">
        <v>0.3422</v>
      </c>
      <c r="F270" s="1">
        <v>1.999</v>
      </c>
      <c r="G270" s="1">
        <f t="shared" si="20"/>
        <v>-0.12063824308997</v>
      </c>
      <c r="W270" s="8"/>
      <c r="X270" s="4">
        <f t="shared" si="21"/>
        <v>0.0139095694087404</v>
      </c>
      <c r="Y270" s="4">
        <f t="shared" si="22"/>
        <v>-0.0720428667917448</v>
      </c>
      <c r="Z270" s="4">
        <f t="shared" si="19"/>
        <v>-0.0522482627118644</v>
      </c>
      <c r="AA270" s="4">
        <f t="shared" si="23"/>
        <v>-0.0102566829951015</v>
      </c>
    </row>
    <row r="271" s="4" customFormat="1" ht="15" customHeight="1" spans="1:27">
      <c r="A271" s="6" t="s">
        <v>75</v>
      </c>
      <c r="B271" s="1">
        <v>30</v>
      </c>
      <c r="C271" s="1">
        <v>1.1142</v>
      </c>
      <c r="D271" s="1">
        <v>17.587</v>
      </c>
      <c r="E271" s="1">
        <v>0.3924</v>
      </c>
      <c r="F271" s="1">
        <v>2.164</v>
      </c>
      <c r="G271" s="1">
        <f t="shared" si="20"/>
        <v>-0.141251242902753</v>
      </c>
      <c r="W271" s="8"/>
      <c r="X271" s="4">
        <f t="shared" si="21"/>
        <v>-0.0160824614395885</v>
      </c>
      <c r="Y271" s="4">
        <f t="shared" si="22"/>
        <v>-0.0932558499061914</v>
      </c>
      <c r="Z271" s="4">
        <f t="shared" si="19"/>
        <v>-0.0148322457627118</v>
      </c>
      <c r="AA271" s="4">
        <f t="shared" si="23"/>
        <v>-0.0170806857942617</v>
      </c>
    </row>
    <row r="272" s="4" customFormat="1" ht="15" customHeight="1" spans="1:27">
      <c r="A272" s="6" t="s">
        <v>77</v>
      </c>
      <c r="B272" s="1">
        <v>31</v>
      </c>
      <c r="C272" s="1">
        <v>1.164</v>
      </c>
      <c r="D272" s="1">
        <v>15.405</v>
      </c>
      <c r="E272" s="1">
        <v>0.33</v>
      </c>
      <c r="F272" s="1">
        <v>1.936</v>
      </c>
      <c r="G272" s="1">
        <f t="shared" si="20"/>
        <v>-0.0811141468589573</v>
      </c>
      <c r="W272" s="8"/>
      <c r="X272" s="4">
        <f t="shared" si="21"/>
        <v>0.0220196593830334</v>
      </c>
      <c r="Y272" s="4">
        <f t="shared" si="22"/>
        <v>-0.034141253283302</v>
      </c>
      <c r="Z272" s="4">
        <f t="shared" si="19"/>
        <v>-0.0613413983050847</v>
      </c>
      <c r="AA272" s="4">
        <f t="shared" si="23"/>
        <v>-0.00765115465360392</v>
      </c>
    </row>
    <row r="273" s="4" customFormat="1" ht="15" customHeight="1" spans="1:27">
      <c r="A273" s="6" t="s">
        <v>77</v>
      </c>
      <c r="B273" s="1">
        <v>31</v>
      </c>
      <c r="C273" s="1">
        <v>1.2223</v>
      </c>
      <c r="D273" s="1">
        <v>16.363</v>
      </c>
      <c r="E273" s="1">
        <v>0.3683</v>
      </c>
      <c r="F273" s="1">
        <v>2.128</v>
      </c>
      <c r="G273" s="1">
        <f t="shared" si="20"/>
        <v>-0.0418568980467163</v>
      </c>
      <c r="W273" s="8"/>
      <c r="X273" s="4">
        <f t="shared" si="21"/>
        <v>0.0666251542416453</v>
      </c>
      <c r="Y273" s="4">
        <f t="shared" si="22"/>
        <v>-0.0600953245778611</v>
      </c>
      <c r="Z273" s="4">
        <f t="shared" si="19"/>
        <v>-0.0327949152542373</v>
      </c>
      <c r="AA273" s="4">
        <f t="shared" si="23"/>
        <v>-0.0155918124562631</v>
      </c>
    </row>
    <row r="274" s="4" customFormat="1" ht="15" customHeight="1" spans="1:27">
      <c r="A274" s="6" t="s">
        <v>77</v>
      </c>
      <c r="B274" s="1">
        <v>31</v>
      </c>
      <c r="C274" s="1">
        <v>1.2264</v>
      </c>
      <c r="D274" s="1">
        <v>16.541</v>
      </c>
      <c r="E274" s="1">
        <v>0.37</v>
      </c>
      <c r="F274" s="1">
        <v>2.16</v>
      </c>
      <c r="G274" s="1">
        <f t="shared" si="20"/>
        <v>-0.0435987071262954</v>
      </c>
      <c r="H274" s="7"/>
      <c r="W274" s="8" t="s">
        <v>78</v>
      </c>
      <c r="X274" s="4">
        <f t="shared" si="21"/>
        <v>0.0697620758354756</v>
      </c>
      <c r="Y274" s="4">
        <f t="shared" si="22"/>
        <v>-0.0649176885553471</v>
      </c>
      <c r="Z274" s="4">
        <f t="shared" si="19"/>
        <v>-0.0315278389830509</v>
      </c>
      <c r="AA274" s="4">
        <f t="shared" si="23"/>
        <v>-0.016915255423373</v>
      </c>
    </row>
    <row r="275" s="4" customFormat="1" ht="15" customHeight="1" spans="1:27">
      <c r="A275" s="6" t="s">
        <v>77</v>
      </c>
      <c r="B275" s="1">
        <v>31</v>
      </c>
      <c r="C275" s="1">
        <v>1.3491</v>
      </c>
      <c r="D275" s="1">
        <v>18.171</v>
      </c>
      <c r="E275" s="1">
        <v>0.353</v>
      </c>
      <c r="F275" s="1">
        <v>2.153</v>
      </c>
      <c r="G275" s="1">
        <f t="shared" si="20"/>
        <v>-0.00626169962871484</v>
      </c>
      <c r="W275" s="8"/>
      <c r="X275" s="4">
        <f t="shared" si="21"/>
        <v>0.163640192802057</v>
      </c>
      <c r="Y275" s="4">
        <f t="shared" si="22"/>
        <v>-0.109077538461538</v>
      </c>
      <c r="Z275" s="4">
        <f t="shared" ref="Z275:Z338" si="24">(E275-U$2)/P$2*K$2</f>
        <v>-0.0441986016949153</v>
      </c>
      <c r="AA275" s="4">
        <f t="shared" si="23"/>
        <v>-0.0166257522743177</v>
      </c>
    </row>
    <row r="276" s="4" customFormat="1" ht="15" customHeight="1" spans="1:27">
      <c r="A276" s="6" t="s">
        <v>77</v>
      </c>
      <c r="B276" s="1">
        <v>31</v>
      </c>
      <c r="C276" s="1">
        <v>1.2788</v>
      </c>
      <c r="D276" s="1">
        <v>18.652</v>
      </c>
      <c r="E276" s="1">
        <v>0.3915</v>
      </c>
      <c r="F276" s="1">
        <v>2.499</v>
      </c>
      <c r="G276" s="1">
        <f t="shared" si="20"/>
        <v>-0.0586938241671016</v>
      </c>
      <c r="W276" s="8"/>
      <c r="X276" s="4">
        <f t="shared" si="21"/>
        <v>0.109853464010283</v>
      </c>
      <c r="Y276" s="4">
        <f t="shared" si="22"/>
        <v>-0.122108757973734</v>
      </c>
      <c r="Z276" s="4">
        <f t="shared" si="24"/>
        <v>-0.0155030508474576</v>
      </c>
      <c r="AA276" s="4">
        <f t="shared" si="23"/>
        <v>-0.0309354793561931</v>
      </c>
    </row>
    <row r="277" s="4" customFormat="1" ht="15" customHeight="1" spans="1:27">
      <c r="A277" s="6" t="s">
        <v>77</v>
      </c>
      <c r="B277" s="1">
        <v>31</v>
      </c>
      <c r="C277" s="1">
        <v>1.3411</v>
      </c>
      <c r="D277" s="1">
        <v>17.729</v>
      </c>
      <c r="E277" s="1">
        <v>0.3756</v>
      </c>
      <c r="F277" s="1">
        <v>2.39</v>
      </c>
      <c r="G277" s="1">
        <f t="shared" si="20"/>
        <v>0.00663502343731035</v>
      </c>
      <c r="W277" s="8"/>
      <c r="X277" s="4">
        <f t="shared" si="21"/>
        <v>0.157519370179949</v>
      </c>
      <c r="Y277" s="4">
        <f t="shared" si="22"/>
        <v>-0.097102904315197</v>
      </c>
      <c r="Z277" s="4">
        <f t="shared" si="24"/>
        <v>-0.0273539406779661</v>
      </c>
      <c r="AA277" s="4">
        <f t="shared" si="23"/>
        <v>-0.0264275017494752</v>
      </c>
    </row>
    <row r="278" s="4" customFormat="1" ht="15" customHeight="1" spans="1:27">
      <c r="A278" s="6" t="s">
        <v>77</v>
      </c>
      <c r="B278" s="1">
        <v>31</v>
      </c>
      <c r="C278" s="1">
        <v>1.2251</v>
      </c>
      <c r="D278" s="1">
        <v>18.25</v>
      </c>
      <c r="E278" s="1">
        <v>0.3486</v>
      </c>
      <c r="F278" s="1">
        <v>2.189</v>
      </c>
      <c r="G278" s="1">
        <f t="shared" si="20"/>
        <v>-0.108043077798976</v>
      </c>
      <c r="W278" s="8"/>
      <c r="X278" s="4">
        <f t="shared" si="21"/>
        <v>0.0687674421593832</v>
      </c>
      <c r="Y278" s="4">
        <f t="shared" si="22"/>
        <v>-0.111217801125704</v>
      </c>
      <c r="Z278" s="4">
        <f t="shared" si="24"/>
        <v>-0.047478093220339</v>
      </c>
      <c r="AA278" s="4">
        <f t="shared" si="23"/>
        <v>-0.0181146256123163</v>
      </c>
    </row>
    <row r="279" s="4" customFormat="1" ht="15" customHeight="1" spans="1:27">
      <c r="A279" s="6" t="s">
        <v>77</v>
      </c>
      <c r="B279" s="1">
        <v>31</v>
      </c>
      <c r="C279" s="1">
        <v>1.3545</v>
      </c>
      <c r="D279" s="1">
        <v>16.258</v>
      </c>
      <c r="E279" s="1">
        <v>0.3762</v>
      </c>
      <c r="F279" s="1">
        <v>1.976</v>
      </c>
      <c r="G279" s="1">
        <f t="shared" si="20"/>
        <v>0.0743088807515591</v>
      </c>
      <c r="W279" s="8"/>
      <c r="X279" s="4">
        <f t="shared" si="21"/>
        <v>0.16777174807198</v>
      </c>
      <c r="Y279" s="4">
        <f t="shared" si="22"/>
        <v>-0.0572506716697936</v>
      </c>
      <c r="Z279" s="4">
        <f t="shared" si="24"/>
        <v>-0.0269067372881356</v>
      </c>
      <c r="AA279" s="4">
        <f t="shared" si="23"/>
        <v>-0.00930545836249125</v>
      </c>
    </row>
    <row r="280" s="4" customFormat="1" ht="15" customHeight="1" spans="1:27">
      <c r="A280" s="6" t="s">
        <v>77</v>
      </c>
      <c r="B280" s="1">
        <v>31</v>
      </c>
      <c r="C280" s="1">
        <v>1.3281</v>
      </c>
      <c r="D280" s="1">
        <v>16.87</v>
      </c>
      <c r="E280" s="1">
        <v>0.4316</v>
      </c>
      <c r="F280" s="1">
        <v>2.121</v>
      </c>
      <c r="G280" s="1">
        <f t="shared" si="20"/>
        <v>0.072824832150738</v>
      </c>
      <c r="W280" s="8"/>
      <c r="X280" s="4">
        <f t="shared" si="21"/>
        <v>0.147573033419023</v>
      </c>
      <c r="Y280" s="4">
        <f t="shared" si="22"/>
        <v>-0.0738309343339588</v>
      </c>
      <c r="Z280" s="4">
        <f t="shared" si="24"/>
        <v>0.0143850423728813</v>
      </c>
      <c r="AA280" s="4">
        <f t="shared" si="23"/>
        <v>-0.0153023093072078</v>
      </c>
    </row>
    <row r="281" s="4" customFormat="1" ht="15" customHeight="1" spans="1:27">
      <c r="A281" s="6" t="s">
        <v>79</v>
      </c>
      <c r="B281" s="1">
        <v>32</v>
      </c>
      <c r="C281" s="1">
        <v>1.1554</v>
      </c>
      <c r="D281" s="1">
        <v>15.504</v>
      </c>
      <c r="E281" s="1">
        <v>0.3592</v>
      </c>
      <c r="F281" s="1">
        <v>1.906</v>
      </c>
      <c r="G281" s="1">
        <f t="shared" si="20"/>
        <v>-0.0673715064042939</v>
      </c>
      <c r="W281" s="8"/>
      <c r="X281" s="4">
        <f t="shared" si="21"/>
        <v>0.0154397750642674</v>
      </c>
      <c r="Y281" s="4">
        <f t="shared" si="22"/>
        <v>-0.0368233545966229</v>
      </c>
      <c r="Z281" s="4">
        <f t="shared" si="24"/>
        <v>-0.0395775</v>
      </c>
      <c r="AA281" s="4">
        <f t="shared" si="23"/>
        <v>-0.00641042687193842</v>
      </c>
    </row>
    <row r="282" s="4" customFormat="1" ht="15" customHeight="1" spans="1:27">
      <c r="A282" s="6" t="s">
        <v>79</v>
      </c>
      <c r="B282" s="1">
        <v>32</v>
      </c>
      <c r="C282" s="1">
        <v>1.1</v>
      </c>
      <c r="D282" s="1">
        <v>15.637</v>
      </c>
      <c r="E282" s="1">
        <v>0.4076</v>
      </c>
      <c r="F282" s="1">
        <v>1.87</v>
      </c>
      <c r="G282" s="1">
        <f t="shared" si="20"/>
        <v>-0.0757981499616174</v>
      </c>
      <c r="W282" s="8"/>
      <c r="X282" s="4">
        <f t="shared" si="21"/>
        <v>-0.0269469215938302</v>
      </c>
      <c r="Y282" s="4">
        <f t="shared" si="22"/>
        <v>-0.0404265816135084</v>
      </c>
      <c r="Z282" s="4">
        <f t="shared" si="24"/>
        <v>-0.00350309322033897</v>
      </c>
      <c r="AA282" s="4">
        <f t="shared" si="23"/>
        <v>-0.00492155353393983</v>
      </c>
    </row>
    <row r="283" s="4" customFormat="1" ht="15" customHeight="1" spans="1:27">
      <c r="A283" s="6" t="s">
        <v>79</v>
      </c>
      <c r="B283" s="1">
        <v>32</v>
      </c>
      <c r="C283" s="1">
        <v>1.2446</v>
      </c>
      <c r="D283" s="1">
        <v>15.695</v>
      </c>
      <c r="E283" s="1">
        <v>0.3568</v>
      </c>
      <c r="F283" s="1">
        <v>1.882</v>
      </c>
      <c r="G283" s="1">
        <f t="shared" si="20"/>
        <v>-0.00509512460121686</v>
      </c>
      <c r="H283" s="7"/>
      <c r="W283" s="8" t="s">
        <v>80</v>
      </c>
      <c r="X283" s="4">
        <f t="shared" si="21"/>
        <v>0.0836869473007712</v>
      </c>
      <c r="Y283" s="4">
        <f t="shared" si="22"/>
        <v>-0.04199791369606</v>
      </c>
      <c r="Z283" s="4">
        <f t="shared" si="24"/>
        <v>-0.041366313559322</v>
      </c>
      <c r="AA283" s="4">
        <f t="shared" si="23"/>
        <v>-0.00541784464660602</v>
      </c>
    </row>
    <row r="284" s="4" customFormat="1" ht="15" customHeight="1" spans="1:27">
      <c r="A284" s="6" t="s">
        <v>79</v>
      </c>
      <c r="B284" s="1">
        <v>32</v>
      </c>
      <c r="C284" s="1">
        <v>1.1886</v>
      </c>
      <c r="D284" s="1">
        <v>14.996</v>
      </c>
      <c r="E284" s="1">
        <v>0.4032</v>
      </c>
      <c r="F284" s="1">
        <v>1.806</v>
      </c>
      <c r="G284" s="1">
        <f t="shared" si="20"/>
        <v>0.00872328369246523</v>
      </c>
      <c r="W284" s="8"/>
      <c r="X284" s="4">
        <f t="shared" si="21"/>
        <v>0.0408411889460156</v>
      </c>
      <c r="Y284" s="4">
        <f t="shared" si="22"/>
        <v>-0.0230606529080676</v>
      </c>
      <c r="Z284" s="4">
        <f t="shared" si="24"/>
        <v>-0.00678258474576271</v>
      </c>
      <c r="AA284" s="4">
        <f t="shared" si="23"/>
        <v>-0.00227466759972009</v>
      </c>
    </row>
    <row r="285" s="4" customFormat="1" ht="15" customHeight="1" spans="1:27">
      <c r="A285" s="6" t="s">
        <v>79</v>
      </c>
      <c r="B285" s="1">
        <v>32</v>
      </c>
      <c r="C285" s="1">
        <v>1.1296</v>
      </c>
      <c r="D285" s="1">
        <v>15.125</v>
      </c>
      <c r="E285" s="1">
        <v>0.3383</v>
      </c>
      <c r="F285" s="1">
        <v>1.885</v>
      </c>
      <c r="G285" s="1">
        <f t="shared" si="20"/>
        <v>-0.0915523922576881</v>
      </c>
      <c r="W285" s="8"/>
      <c r="X285" s="4">
        <f t="shared" si="21"/>
        <v>-0.00429987789203082</v>
      </c>
      <c r="Y285" s="4">
        <f t="shared" si="22"/>
        <v>-0.0265555121951219</v>
      </c>
      <c r="Z285" s="4">
        <f t="shared" si="24"/>
        <v>-0.0551550847457627</v>
      </c>
      <c r="AA285" s="4">
        <f t="shared" si="23"/>
        <v>-0.00554191742477257</v>
      </c>
    </row>
    <row r="286" s="4" customFormat="1" ht="15" customHeight="1" spans="1:27">
      <c r="A286" s="6" t="s">
        <v>79</v>
      </c>
      <c r="B286" s="1">
        <v>32</v>
      </c>
      <c r="C286" s="1">
        <v>1.1413</v>
      </c>
      <c r="D286" s="1">
        <v>15.776</v>
      </c>
      <c r="E286" s="1">
        <v>0.3442</v>
      </c>
      <c r="F286" s="1">
        <v>1.883</v>
      </c>
      <c r="G286" s="1">
        <f t="shared" si="20"/>
        <v>-0.0957573220174295</v>
      </c>
      <c r="W286" s="8"/>
      <c r="X286" s="4">
        <f t="shared" si="21"/>
        <v>0.00465182519280212</v>
      </c>
      <c r="Y286" s="4">
        <f t="shared" si="22"/>
        <v>-0.0441923602251407</v>
      </c>
      <c r="Z286" s="4">
        <f t="shared" si="24"/>
        <v>-0.0507575847457627</v>
      </c>
      <c r="AA286" s="4">
        <f t="shared" si="23"/>
        <v>-0.00545920223932821</v>
      </c>
    </row>
    <row r="287" s="4" customFormat="1" ht="15" customHeight="1" spans="1:27">
      <c r="A287" s="6" t="s">
        <v>79</v>
      </c>
      <c r="B287" s="1">
        <v>32</v>
      </c>
      <c r="C287" s="1">
        <v>1.167</v>
      </c>
      <c r="D287" s="1">
        <v>16.309</v>
      </c>
      <c r="E287" s="1">
        <v>0.417</v>
      </c>
      <c r="F287" s="1">
        <v>1.934</v>
      </c>
      <c r="G287" s="1">
        <f t="shared" si="20"/>
        <v>-0.0383827386066373</v>
      </c>
      <c r="W287" s="8"/>
      <c r="X287" s="4">
        <f t="shared" si="21"/>
        <v>0.024314967866324</v>
      </c>
      <c r="Y287" s="4">
        <f t="shared" si="22"/>
        <v>-0.0586323602251407</v>
      </c>
      <c r="Z287" s="4">
        <f t="shared" si="24"/>
        <v>0.00350309322033897</v>
      </c>
      <c r="AA287" s="4">
        <f t="shared" si="23"/>
        <v>-0.00756843946815955</v>
      </c>
    </row>
    <row r="288" s="4" customFormat="1" ht="15" customHeight="1" spans="1:27">
      <c r="A288" s="6" t="s">
        <v>79</v>
      </c>
      <c r="B288" s="1">
        <v>32</v>
      </c>
      <c r="C288" s="1">
        <v>1.1265</v>
      </c>
      <c r="D288" s="1">
        <v>14.153</v>
      </c>
      <c r="E288" s="1">
        <v>0.3654</v>
      </c>
      <c r="F288" s="1">
        <v>1.67</v>
      </c>
      <c r="G288" s="1">
        <f t="shared" si="20"/>
        <v>-0.0385002837988393</v>
      </c>
      <c r="W288" s="8"/>
      <c r="X288" s="4">
        <f t="shared" si="21"/>
        <v>-0.00667169665809756</v>
      </c>
      <c r="Y288" s="4">
        <f t="shared" si="22"/>
        <v>-0.000222153846153858</v>
      </c>
      <c r="Z288" s="4">
        <f t="shared" si="24"/>
        <v>-0.0349563983050847</v>
      </c>
      <c r="AA288" s="4">
        <f t="shared" si="23"/>
        <v>0.00334996501049685</v>
      </c>
    </row>
    <row r="289" s="4" customFormat="1" ht="15" customHeight="1" spans="1:27">
      <c r="A289" s="6" t="s">
        <v>79</v>
      </c>
      <c r="B289" s="1">
        <v>32</v>
      </c>
      <c r="C289" s="1">
        <v>1.1387</v>
      </c>
      <c r="D289" s="1">
        <v>15.502</v>
      </c>
      <c r="E289" s="1">
        <v>0.4065</v>
      </c>
      <c r="F289" s="1">
        <v>1.941</v>
      </c>
      <c r="G289" s="1">
        <f t="shared" si="20"/>
        <v>-0.04628752161</v>
      </c>
      <c r="W289" s="8"/>
      <c r="X289" s="4">
        <f t="shared" si="21"/>
        <v>0.00266255784061708</v>
      </c>
      <c r="Y289" s="4">
        <f t="shared" si="22"/>
        <v>-0.0367691707317073</v>
      </c>
      <c r="Z289" s="4">
        <f t="shared" si="24"/>
        <v>-0.00432296610169494</v>
      </c>
      <c r="AA289" s="4">
        <f t="shared" si="23"/>
        <v>-0.00785794261721484</v>
      </c>
    </row>
    <row r="290" s="4" customFormat="1" ht="15" customHeight="1" spans="1:27">
      <c r="A290" s="6" t="s">
        <v>81</v>
      </c>
      <c r="B290" s="1">
        <v>33</v>
      </c>
      <c r="C290" s="1">
        <v>1.2274</v>
      </c>
      <c r="D290" s="1">
        <v>15.156</v>
      </c>
      <c r="E290" s="1">
        <v>0.4038</v>
      </c>
      <c r="F290" s="1">
        <v>1.871</v>
      </c>
      <c r="G290" s="1">
        <f t="shared" si="20"/>
        <v>0.0318335240793316</v>
      </c>
      <c r="W290" s="8"/>
      <c r="X290" s="4">
        <f t="shared" si="21"/>
        <v>0.0705271786632392</v>
      </c>
      <c r="Y290" s="4">
        <f t="shared" si="22"/>
        <v>-0.0273953621013133</v>
      </c>
      <c r="Z290" s="4">
        <f t="shared" si="24"/>
        <v>-0.00633538135593221</v>
      </c>
      <c r="AA290" s="4">
        <f t="shared" si="23"/>
        <v>-0.00496291112666201</v>
      </c>
    </row>
    <row r="291" s="4" customFormat="1" ht="15" customHeight="1" spans="1:27">
      <c r="A291" s="6" t="s">
        <v>81</v>
      </c>
      <c r="B291" s="1">
        <v>33</v>
      </c>
      <c r="C291" s="1">
        <v>1.2967</v>
      </c>
      <c r="D291" s="1">
        <v>14.87</v>
      </c>
      <c r="E291" s="1">
        <v>0.4715</v>
      </c>
      <c r="F291" s="1">
        <v>1.913</v>
      </c>
      <c r="G291" s="1">
        <f t="shared" si="20"/>
        <v>0.141325872984479</v>
      </c>
      <c r="W291" s="8"/>
      <c r="X291" s="4">
        <f t="shared" si="21"/>
        <v>0.123548804627249</v>
      </c>
      <c r="Y291" s="4">
        <f t="shared" si="22"/>
        <v>-0.0196470694183865</v>
      </c>
      <c r="Z291" s="4">
        <f t="shared" si="24"/>
        <v>0.0441240677966102</v>
      </c>
      <c r="AA291" s="4">
        <f t="shared" si="23"/>
        <v>-0.00669993002099371</v>
      </c>
    </row>
    <row r="292" s="4" customFormat="1" ht="15" customHeight="1" spans="1:27">
      <c r="A292" s="6" t="s">
        <v>81</v>
      </c>
      <c r="B292" s="1">
        <v>33</v>
      </c>
      <c r="C292" s="1">
        <v>1.2836</v>
      </c>
      <c r="D292" s="1">
        <v>14.572</v>
      </c>
      <c r="E292" s="1">
        <v>0.4525</v>
      </c>
      <c r="F292" s="1">
        <v>1.934</v>
      </c>
      <c r="G292" s="1">
        <f t="shared" si="20"/>
        <v>0.124346471688066</v>
      </c>
      <c r="H292" s="11"/>
      <c r="W292" s="8" t="s">
        <v>82</v>
      </c>
      <c r="X292" s="4">
        <f t="shared" si="21"/>
        <v>0.113525957583548</v>
      </c>
      <c r="Y292" s="4">
        <f t="shared" si="22"/>
        <v>-0.0115736735459662</v>
      </c>
      <c r="Z292" s="4">
        <f t="shared" si="24"/>
        <v>0.0299626271186441</v>
      </c>
      <c r="AA292" s="4">
        <f t="shared" si="23"/>
        <v>-0.00756843946815955</v>
      </c>
    </row>
    <row r="293" s="4" customFormat="1" ht="15" customHeight="1" spans="1:27">
      <c r="A293" s="6" t="s">
        <v>81</v>
      </c>
      <c r="B293" s="1">
        <v>33</v>
      </c>
      <c r="C293" s="1">
        <v>1.2778</v>
      </c>
      <c r="D293" s="1">
        <v>15.972</v>
      </c>
      <c r="E293" s="1">
        <v>0.4026</v>
      </c>
      <c r="F293" s="1">
        <v>1.893</v>
      </c>
      <c r="G293" s="1">
        <f t="shared" si="20"/>
        <v>0.0464834158935094</v>
      </c>
      <c r="W293" s="8"/>
      <c r="X293" s="4">
        <f t="shared" si="21"/>
        <v>0.109088361182519</v>
      </c>
      <c r="Y293" s="4">
        <f t="shared" si="22"/>
        <v>-0.0495023789868668</v>
      </c>
      <c r="Z293" s="4">
        <f t="shared" si="24"/>
        <v>-0.00722978813559321</v>
      </c>
      <c r="AA293" s="4">
        <f t="shared" si="23"/>
        <v>-0.00587277816655004</v>
      </c>
    </row>
    <row r="294" s="4" customFormat="1" ht="15" customHeight="1" spans="1:27">
      <c r="A294" s="6" t="s">
        <v>81</v>
      </c>
      <c r="B294" s="1">
        <v>33</v>
      </c>
      <c r="C294" s="1">
        <v>1.2702</v>
      </c>
      <c r="D294" s="1">
        <v>15.06</v>
      </c>
      <c r="E294" s="1">
        <v>0.4011</v>
      </c>
      <c r="F294" s="1">
        <v>1.818</v>
      </c>
      <c r="G294" s="1">
        <f t="shared" si="20"/>
        <v>0.0673602877835951</v>
      </c>
      <c r="W294" s="8"/>
      <c r="X294" s="4">
        <f t="shared" si="21"/>
        <v>0.103273579691517</v>
      </c>
      <c r="Y294" s="4">
        <f t="shared" si="22"/>
        <v>-0.0247945365853659</v>
      </c>
      <c r="Z294" s="4">
        <f t="shared" si="24"/>
        <v>-0.00834779661016948</v>
      </c>
      <c r="AA294" s="4">
        <f t="shared" si="23"/>
        <v>-0.00277095871238629</v>
      </c>
    </row>
    <row r="295" s="4" customFormat="1" ht="15" customHeight="1" spans="1:27">
      <c r="A295" s="6" t="s">
        <v>81</v>
      </c>
      <c r="B295" s="1">
        <v>33</v>
      </c>
      <c r="C295" s="1">
        <v>1.1876</v>
      </c>
      <c r="D295" s="1">
        <v>14.705</v>
      </c>
      <c r="E295" s="1">
        <v>0.3897</v>
      </c>
      <c r="F295" s="1">
        <v>1.911</v>
      </c>
      <c r="G295" s="1">
        <f t="shared" si="20"/>
        <v>0.00143730970290171</v>
      </c>
      <c r="W295" s="8"/>
      <c r="X295" s="4">
        <f t="shared" si="21"/>
        <v>0.040076086118252</v>
      </c>
      <c r="Y295" s="4">
        <f t="shared" si="22"/>
        <v>-0.0151769005628518</v>
      </c>
      <c r="Z295" s="4">
        <f t="shared" si="24"/>
        <v>-0.0168446610169492</v>
      </c>
      <c r="AA295" s="4">
        <f t="shared" si="23"/>
        <v>-0.00661721483554934</v>
      </c>
    </row>
    <row r="296" s="4" customFormat="1" ht="15" customHeight="1" spans="1:27">
      <c r="A296" s="6" t="s">
        <v>81</v>
      </c>
      <c r="B296" s="1">
        <v>33</v>
      </c>
      <c r="C296" s="1">
        <v>1.2126</v>
      </c>
      <c r="D296" s="1">
        <v>15.387</v>
      </c>
      <c r="E296" s="1">
        <v>0.4629</v>
      </c>
      <c r="F296" s="1">
        <v>1.928</v>
      </c>
      <c r="G296" s="1">
        <f t="shared" si="20"/>
        <v>0.0559439169438238</v>
      </c>
      <c r="W296" s="8"/>
      <c r="X296" s="4">
        <f t="shared" si="21"/>
        <v>0.0592036568123393</v>
      </c>
      <c r="Y296" s="4">
        <f t="shared" si="22"/>
        <v>-0.0336535984990619</v>
      </c>
      <c r="Z296" s="4">
        <f t="shared" si="24"/>
        <v>0.0377141525423729</v>
      </c>
      <c r="AA296" s="4">
        <f t="shared" si="23"/>
        <v>-0.00732029391182645</v>
      </c>
    </row>
    <row r="297" s="4" customFormat="1" ht="15" customHeight="1" spans="1:27">
      <c r="A297" s="6" t="s">
        <v>81</v>
      </c>
      <c r="B297" s="1">
        <v>33</v>
      </c>
      <c r="C297" s="1">
        <v>1.2246</v>
      </c>
      <c r="D297" s="1">
        <v>15.697</v>
      </c>
      <c r="E297" s="1">
        <v>0.4397</v>
      </c>
      <c r="F297" s="1">
        <v>1.848</v>
      </c>
      <c r="G297" s="1">
        <f t="shared" si="20"/>
        <v>0.0427433948260671</v>
      </c>
      <c r="W297" s="8"/>
      <c r="X297" s="4">
        <f t="shared" si="21"/>
        <v>0.0683848907455013</v>
      </c>
      <c r="Y297" s="4">
        <f t="shared" si="22"/>
        <v>-0.0420520975609756</v>
      </c>
      <c r="Z297" s="4">
        <f t="shared" si="24"/>
        <v>0.0204222881355932</v>
      </c>
      <c r="AA297" s="4">
        <f t="shared" si="23"/>
        <v>-0.00401168649405179</v>
      </c>
    </row>
    <row r="298" s="4" customFormat="1" ht="15" customHeight="1" spans="1:27">
      <c r="A298" s="6" t="s">
        <v>81</v>
      </c>
      <c r="B298" s="1">
        <v>33</v>
      </c>
      <c r="C298" s="1">
        <v>1.3399</v>
      </c>
      <c r="D298" s="1">
        <v>15.771</v>
      </c>
      <c r="E298" s="1">
        <v>0.4778</v>
      </c>
      <c r="F298" s="1">
        <v>1.972</v>
      </c>
      <c r="G298" s="1">
        <f t="shared" si="20"/>
        <v>0.152224021622009</v>
      </c>
      <c r="W298" s="8"/>
      <c r="X298" s="4">
        <f t="shared" si="21"/>
        <v>0.156601246786633</v>
      </c>
      <c r="Y298" s="4">
        <f t="shared" si="22"/>
        <v>-0.0440569005628518</v>
      </c>
      <c r="Z298" s="4">
        <f t="shared" si="24"/>
        <v>0.0488197033898305</v>
      </c>
      <c r="AA298" s="4">
        <f t="shared" si="23"/>
        <v>-0.00914002799160252</v>
      </c>
    </row>
    <row r="299" s="4" customFormat="1" ht="15" customHeight="1" spans="1:27">
      <c r="A299" s="6" t="s">
        <v>83</v>
      </c>
      <c r="B299" s="1">
        <v>34</v>
      </c>
      <c r="C299" s="1">
        <v>1.2391</v>
      </c>
      <c r="D299" s="1">
        <v>14.409</v>
      </c>
      <c r="E299" s="1">
        <v>0.431</v>
      </c>
      <c r="F299" s="1">
        <v>1.925</v>
      </c>
      <c r="G299" s="1">
        <f t="shared" si="20"/>
        <v>0.079062811042116</v>
      </c>
      <c r="W299" s="8"/>
      <c r="X299" s="4">
        <f t="shared" si="21"/>
        <v>0.0794788817480721</v>
      </c>
      <c r="Y299" s="4">
        <f t="shared" si="22"/>
        <v>-0.00715768855534711</v>
      </c>
      <c r="Z299" s="4">
        <f t="shared" si="24"/>
        <v>0.0139378389830508</v>
      </c>
      <c r="AA299" s="4">
        <f t="shared" si="23"/>
        <v>-0.00719622113365991</v>
      </c>
    </row>
    <row r="300" s="4" customFormat="1" ht="15" customHeight="1" spans="1:27">
      <c r="A300" s="6" t="s">
        <v>83</v>
      </c>
      <c r="B300" s="1">
        <v>34</v>
      </c>
      <c r="C300" s="1">
        <v>1.3248</v>
      </c>
      <c r="D300" s="1">
        <v>15.069</v>
      </c>
      <c r="E300" s="1">
        <v>0.423</v>
      </c>
      <c r="F300" s="1">
        <v>1.934</v>
      </c>
      <c r="G300" s="1">
        <f t="shared" si="20"/>
        <v>0.120416517760402</v>
      </c>
      <c r="W300" s="8"/>
      <c r="X300" s="4">
        <f t="shared" si="21"/>
        <v>0.145048194087404</v>
      </c>
      <c r="Y300" s="4">
        <f t="shared" si="22"/>
        <v>-0.0250383639774859</v>
      </c>
      <c r="Z300" s="4">
        <f t="shared" si="24"/>
        <v>0.00797512711864406</v>
      </c>
      <c r="AA300" s="4">
        <f t="shared" si="23"/>
        <v>-0.00756843946815955</v>
      </c>
    </row>
    <row r="301" s="4" customFormat="1" ht="15" customHeight="1" spans="1:27">
      <c r="A301" s="6" t="s">
        <v>83</v>
      </c>
      <c r="B301" s="1">
        <v>34</v>
      </c>
      <c r="C301" s="1">
        <v>1.17</v>
      </c>
      <c r="D301" s="1">
        <v>13.804</v>
      </c>
      <c r="E301" s="1">
        <v>0.468</v>
      </c>
      <c r="F301" s="1">
        <v>1.71</v>
      </c>
      <c r="G301" s="1">
        <f t="shared" si="20"/>
        <v>0.0790542495887697</v>
      </c>
      <c r="H301" s="11"/>
      <c r="W301" s="8" t="s">
        <v>84</v>
      </c>
      <c r="X301" s="4">
        <f t="shared" si="21"/>
        <v>0.0266102763496144</v>
      </c>
      <c r="Y301" s="4">
        <f t="shared" si="22"/>
        <v>0.0092329305816135</v>
      </c>
      <c r="Z301" s="4">
        <f t="shared" si="24"/>
        <v>0.0415153813559322</v>
      </c>
      <c r="AA301" s="4">
        <f t="shared" si="23"/>
        <v>0.00169566130160951</v>
      </c>
    </row>
    <row r="302" s="4" customFormat="1" ht="15" customHeight="1" spans="1:27">
      <c r="A302" s="6" t="s">
        <v>83</v>
      </c>
      <c r="B302" s="1">
        <v>34</v>
      </c>
      <c r="C302" s="1">
        <v>1.2822</v>
      </c>
      <c r="D302" s="1">
        <v>14.232</v>
      </c>
      <c r="E302" s="1">
        <v>0.4672</v>
      </c>
      <c r="F302" s="1">
        <v>1.659</v>
      </c>
      <c r="G302" s="1">
        <f t="shared" si="20"/>
        <v>0.154816405814292</v>
      </c>
      <c r="W302" s="8"/>
      <c r="X302" s="4">
        <f t="shared" si="21"/>
        <v>0.112454813624679</v>
      </c>
      <c r="Y302" s="4">
        <f t="shared" si="22"/>
        <v>-0.00236241651031893</v>
      </c>
      <c r="Z302" s="4">
        <f t="shared" si="24"/>
        <v>0.0409191101694915</v>
      </c>
      <c r="AA302" s="4">
        <f t="shared" si="23"/>
        <v>0.00380489853044086</v>
      </c>
    </row>
    <row r="303" s="4" customFormat="1" ht="15" customHeight="1" spans="1:27">
      <c r="A303" s="6" t="s">
        <v>83</v>
      </c>
      <c r="B303" s="1">
        <v>34</v>
      </c>
      <c r="C303" s="1">
        <v>1.2244</v>
      </c>
      <c r="D303" s="1">
        <v>13.127</v>
      </c>
      <c r="E303" s="1">
        <v>0.4266</v>
      </c>
      <c r="F303" s="1">
        <v>1.724</v>
      </c>
      <c r="G303" s="1">
        <f t="shared" si="20"/>
        <v>0.107581041496609</v>
      </c>
      <c r="W303" s="8"/>
      <c r="X303" s="4">
        <f t="shared" si="21"/>
        <v>0.0682318701799486</v>
      </c>
      <c r="Y303" s="4">
        <f t="shared" si="22"/>
        <v>0.0275741688555347</v>
      </c>
      <c r="Z303" s="4">
        <f t="shared" si="24"/>
        <v>0.0106583474576271</v>
      </c>
      <c r="AA303" s="4">
        <f t="shared" si="23"/>
        <v>0.00111665500349895</v>
      </c>
    </row>
    <row r="304" s="4" customFormat="1" ht="15" customHeight="1" spans="1:27">
      <c r="A304" s="6" t="s">
        <v>83</v>
      </c>
      <c r="B304" s="1">
        <v>34</v>
      </c>
      <c r="C304" s="1">
        <v>1.1886</v>
      </c>
      <c r="D304" s="1">
        <v>14.726</v>
      </c>
      <c r="E304" s="1">
        <v>0.473</v>
      </c>
      <c r="F304" s="1">
        <v>1.718</v>
      </c>
      <c r="G304" s="1">
        <f t="shared" si="20"/>
        <v>0.0717022346325687</v>
      </c>
      <c r="W304" s="8"/>
      <c r="X304" s="4">
        <f t="shared" si="21"/>
        <v>0.0408411889460156</v>
      </c>
      <c r="Y304" s="4">
        <f t="shared" si="22"/>
        <v>-0.0157458311444653</v>
      </c>
      <c r="Z304" s="4">
        <f t="shared" si="24"/>
        <v>0.0452420762711864</v>
      </c>
      <c r="AA304" s="4">
        <f t="shared" si="23"/>
        <v>0.00136480055983205</v>
      </c>
    </row>
    <row r="305" s="4" customFormat="1" ht="15" customHeight="1" spans="1:27">
      <c r="A305" s="6" t="s">
        <v>83</v>
      </c>
      <c r="B305" s="1">
        <v>34</v>
      </c>
      <c r="C305" s="1">
        <v>1.1417</v>
      </c>
      <c r="D305" s="1">
        <v>15.622</v>
      </c>
      <c r="E305" s="1">
        <v>0.4284</v>
      </c>
      <c r="F305" s="1">
        <v>2.07</v>
      </c>
      <c r="G305" s="1">
        <f t="shared" si="20"/>
        <v>-0.036255450753992</v>
      </c>
      <c r="W305" s="8"/>
      <c r="X305" s="4">
        <f t="shared" si="21"/>
        <v>0.00495786632390749</v>
      </c>
      <c r="Y305" s="4">
        <f t="shared" si="22"/>
        <v>-0.0400202026266416</v>
      </c>
      <c r="Z305" s="4">
        <f t="shared" si="24"/>
        <v>0.0119999576271186</v>
      </c>
      <c r="AA305" s="4">
        <f t="shared" si="23"/>
        <v>-0.0131930720783765</v>
      </c>
    </row>
    <row r="306" s="4" customFormat="1" ht="15" customHeight="1" spans="1:27">
      <c r="A306" s="6" t="s">
        <v>83</v>
      </c>
      <c r="B306" s="1">
        <v>34</v>
      </c>
      <c r="C306" s="1">
        <v>1.2126</v>
      </c>
      <c r="D306" s="1">
        <v>15.774</v>
      </c>
      <c r="E306" s="1">
        <v>0.464</v>
      </c>
      <c r="F306" s="1">
        <v>1.83</v>
      </c>
      <c r="G306" s="1">
        <f t="shared" si="20"/>
        <v>0.0503322560507905</v>
      </c>
      <c r="W306" s="8"/>
      <c r="X306" s="4">
        <f t="shared" si="21"/>
        <v>0.0592036568123393</v>
      </c>
      <c r="Y306" s="4">
        <f t="shared" si="22"/>
        <v>-0.0441381763602251</v>
      </c>
      <c r="Z306" s="4">
        <f t="shared" si="24"/>
        <v>0.0385340254237288</v>
      </c>
      <c r="AA306" s="4">
        <f t="shared" si="23"/>
        <v>-0.00326724982505249</v>
      </c>
    </row>
    <row r="307" s="4" customFormat="1" ht="15" customHeight="1" spans="1:27">
      <c r="A307" s="6" t="s">
        <v>85</v>
      </c>
      <c r="B307" s="1">
        <v>35</v>
      </c>
      <c r="C307" s="1">
        <v>1.0604</v>
      </c>
      <c r="D307" s="1">
        <v>19.691</v>
      </c>
      <c r="E307" s="1">
        <v>0.3194</v>
      </c>
      <c r="F307" s="1">
        <v>2.582</v>
      </c>
      <c r="G307" s="1">
        <f t="shared" si="20"/>
        <v>-0.311112420448196</v>
      </c>
      <c r="W307" s="8"/>
      <c r="X307" s="4">
        <f t="shared" si="21"/>
        <v>-0.0572449935732647</v>
      </c>
      <c r="Y307" s="4">
        <f t="shared" si="22"/>
        <v>-0.150257275797373</v>
      </c>
      <c r="Z307" s="4">
        <f t="shared" si="24"/>
        <v>-0.0692419915254237</v>
      </c>
      <c r="AA307" s="4">
        <f t="shared" si="23"/>
        <v>-0.0343681595521344</v>
      </c>
    </row>
    <row r="308" s="4" customFormat="1" ht="15" customHeight="1" spans="1:27">
      <c r="A308" s="6" t="s">
        <v>85</v>
      </c>
      <c r="B308" s="1">
        <v>35</v>
      </c>
      <c r="C308" s="1">
        <v>1.083</v>
      </c>
      <c r="D308" s="1">
        <v>17.727</v>
      </c>
      <c r="E308" s="1">
        <v>0.3836</v>
      </c>
      <c r="F308" s="1">
        <v>2.046</v>
      </c>
      <c r="G308" s="1">
        <f t="shared" si="20"/>
        <v>-0.170594108782695</v>
      </c>
      <c r="W308" s="8"/>
      <c r="X308" s="4">
        <f t="shared" si="21"/>
        <v>-0.0399536696658097</v>
      </c>
      <c r="Y308" s="4">
        <f t="shared" si="22"/>
        <v>-0.0970487204502814</v>
      </c>
      <c r="Z308" s="4">
        <f t="shared" si="24"/>
        <v>-0.0213912288135593</v>
      </c>
      <c r="AA308" s="4">
        <f t="shared" si="23"/>
        <v>-0.0122004898530441</v>
      </c>
    </row>
    <row r="309" s="4" customFormat="1" ht="15" customHeight="1" spans="1:27">
      <c r="A309" s="6" t="s">
        <v>85</v>
      </c>
      <c r="B309" s="1">
        <v>35</v>
      </c>
      <c r="C309" s="1">
        <v>1.1746</v>
      </c>
      <c r="D309" s="1">
        <v>17.627</v>
      </c>
      <c r="E309" s="1">
        <v>0.3951</v>
      </c>
      <c r="F309" s="1">
        <v>2.182</v>
      </c>
      <c r="G309" s="1">
        <f t="shared" si="20"/>
        <v>-0.0948547308189118</v>
      </c>
      <c r="W309" s="8"/>
      <c r="X309" s="4">
        <f t="shared" si="21"/>
        <v>0.0301297493573266</v>
      </c>
      <c r="Y309" s="4">
        <f t="shared" si="22"/>
        <v>-0.0943395272045028</v>
      </c>
      <c r="Z309" s="4">
        <f t="shared" si="24"/>
        <v>-0.0128198305084746</v>
      </c>
      <c r="AA309" s="4">
        <f t="shared" si="23"/>
        <v>-0.017825122463261</v>
      </c>
    </row>
    <row r="310" s="4" customFormat="1" ht="15" customHeight="1" spans="1:27">
      <c r="A310" s="6" t="s">
        <v>85</v>
      </c>
      <c r="B310" s="1">
        <v>35</v>
      </c>
      <c r="C310" s="1">
        <v>1.1259</v>
      </c>
      <c r="D310" s="1">
        <v>20.251</v>
      </c>
      <c r="E310" s="1">
        <v>0.3872</v>
      </c>
      <c r="F310" s="1">
        <v>2.434</v>
      </c>
      <c r="G310" s="1">
        <f t="shared" si="20"/>
        <v>-0.219514760632317</v>
      </c>
      <c r="H310" s="11"/>
      <c r="W310" s="8" t="s">
        <v>86</v>
      </c>
      <c r="X310" s="4">
        <f t="shared" si="21"/>
        <v>-0.00713075835475578</v>
      </c>
      <c r="Y310" s="4">
        <f t="shared" si="22"/>
        <v>-0.165428757973734</v>
      </c>
      <c r="Z310" s="4">
        <f t="shared" si="24"/>
        <v>-0.0187080084745763</v>
      </c>
      <c r="AA310" s="4">
        <f t="shared" si="23"/>
        <v>-0.0282472358292512</v>
      </c>
    </row>
    <row r="311" s="4" customFormat="1" ht="15" customHeight="1" spans="1:27">
      <c r="A311" s="6" t="s">
        <v>85</v>
      </c>
      <c r="B311" s="1">
        <v>35</v>
      </c>
      <c r="C311" s="1">
        <v>1.1713</v>
      </c>
      <c r="D311" s="1">
        <v>16.801</v>
      </c>
      <c r="E311" s="1">
        <v>0.3632</v>
      </c>
      <c r="F311" s="1">
        <v>2.183</v>
      </c>
      <c r="G311" s="1">
        <f t="shared" si="20"/>
        <v>-0.0988193050924442</v>
      </c>
      <c r="W311" s="8"/>
      <c r="X311" s="4">
        <f t="shared" si="21"/>
        <v>0.027604910025707</v>
      </c>
      <c r="Y311" s="4">
        <f t="shared" si="22"/>
        <v>-0.0719615909943714</v>
      </c>
      <c r="Z311" s="4">
        <f t="shared" si="24"/>
        <v>-0.0365961440677966</v>
      </c>
      <c r="AA311" s="4">
        <f t="shared" si="23"/>
        <v>-0.0178664800559832</v>
      </c>
    </row>
    <row r="312" s="4" customFormat="1" ht="15" customHeight="1" spans="1:27">
      <c r="A312" s="6" t="s">
        <v>85</v>
      </c>
      <c r="B312" s="1">
        <v>35</v>
      </c>
      <c r="C312" s="1">
        <v>1.1435</v>
      </c>
      <c r="D312" s="1">
        <v>17.834</v>
      </c>
      <c r="E312" s="1">
        <v>0.3527</v>
      </c>
      <c r="F312" s="1">
        <v>2.268</v>
      </c>
      <c r="G312" s="1">
        <f t="shared" si="20"/>
        <v>-0.159416584636582</v>
      </c>
      <c r="W312" s="8"/>
      <c r="X312" s="4">
        <f t="shared" si="21"/>
        <v>0.0063350514138818</v>
      </c>
      <c r="Y312" s="4">
        <f t="shared" si="22"/>
        <v>-0.0999475572232645</v>
      </c>
      <c r="Z312" s="4">
        <f t="shared" si="24"/>
        <v>-0.0444222033898305</v>
      </c>
      <c r="AA312" s="4">
        <f t="shared" si="23"/>
        <v>-0.0213818754373688</v>
      </c>
    </row>
    <row r="313" s="4" customFormat="1" ht="15" customHeight="1" spans="1:27">
      <c r="A313" s="6" t="s">
        <v>85</v>
      </c>
      <c r="B313" s="1">
        <v>35</v>
      </c>
      <c r="C313" s="1">
        <v>1.116</v>
      </c>
      <c r="D313" s="1">
        <v>17.804</v>
      </c>
      <c r="E313" s="1">
        <v>0.3675</v>
      </c>
      <c r="F313" s="1">
        <v>2.153</v>
      </c>
      <c r="G313" s="1">
        <f t="shared" si="20"/>
        <v>-0.163857014314141</v>
      </c>
      <c r="W313" s="8"/>
      <c r="X313" s="4">
        <f t="shared" si="21"/>
        <v>-0.0147052763496142</v>
      </c>
      <c r="Y313" s="4">
        <f t="shared" si="22"/>
        <v>-0.0991347992495309</v>
      </c>
      <c r="Z313" s="4">
        <f t="shared" si="24"/>
        <v>-0.033391186440678</v>
      </c>
      <c r="AA313" s="4">
        <f t="shared" si="23"/>
        <v>-0.0166257522743177</v>
      </c>
    </row>
    <row r="314" s="4" customFormat="1" ht="15" customHeight="1" spans="1:27">
      <c r="A314" s="6" t="s">
        <v>85</v>
      </c>
      <c r="B314" s="1">
        <v>35</v>
      </c>
      <c r="C314" s="1">
        <v>1.2122</v>
      </c>
      <c r="D314" s="1">
        <v>16.981</v>
      </c>
      <c r="E314" s="1">
        <v>0.3621</v>
      </c>
      <c r="F314" s="1">
        <v>2.204</v>
      </c>
      <c r="G314" s="1">
        <f t="shared" si="20"/>
        <v>-0.0740915296078407</v>
      </c>
      <c r="W314" s="8"/>
      <c r="X314" s="4">
        <f t="shared" si="21"/>
        <v>0.058897615681234</v>
      </c>
      <c r="Y314" s="4">
        <f t="shared" si="22"/>
        <v>-0.076838138836773</v>
      </c>
      <c r="Z314" s="4">
        <f t="shared" si="24"/>
        <v>-0.0374160169491526</v>
      </c>
      <c r="AA314" s="4">
        <f t="shared" si="23"/>
        <v>-0.0187349895031491</v>
      </c>
    </row>
    <row r="315" s="4" customFormat="1" ht="15" customHeight="1" spans="1:27">
      <c r="A315" s="6" t="s">
        <v>85</v>
      </c>
      <c r="B315" s="1">
        <v>35</v>
      </c>
      <c r="C315" s="1">
        <v>1.0811</v>
      </c>
      <c r="D315" s="1">
        <v>19.429</v>
      </c>
      <c r="E315" s="1">
        <v>0.3381</v>
      </c>
      <c r="F315" s="1">
        <v>2.567</v>
      </c>
      <c r="G315" s="1">
        <f t="shared" si="20"/>
        <v>-0.273618502735668</v>
      </c>
      <c r="W315" s="8"/>
      <c r="X315" s="4">
        <f t="shared" si="21"/>
        <v>-0.0414073650385604</v>
      </c>
      <c r="Y315" s="4">
        <f t="shared" si="22"/>
        <v>-0.143159189493433</v>
      </c>
      <c r="Z315" s="4">
        <f t="shared" si="24"/>
        <v>-0.0553041525423729</v>
      </c>
      <c r="AA315" s="4">
        <f t="shared" si="23"/>
        <v>-0.0337477956613016</v>
      </c>
    </row>
    <row r="316" s="4" customFormat="1" ht="15" customHeight="1" spans="1:27">
      <c r="A316" s="6" t="s">
        <v>87</v>
      </c>
      <c r="B316" s="1">
        <v>36</v>
      </c>
      <c r="C316" s="1">
        <v>1.0897</v>
      </c>
      <c r="D316" s="1">
        <v>13.854</v>
      </c>
      <c r="E316" s="1">
        <v>0.4099</v>
      </c>
      <c r="F316" s="1">
        <v>1.86</v>
      </c>
      <c r="G316" s="1">
        <f t="shared" si="20"/>
        <v>-0.0332459379271102</v>
      </c>
      <c r="W316" s="8"/>
      <c r="X316" s="4">
        <f t="shared" si="21"/>
        <v>-0.0348274807197943</v>
      </c>
      <c r="Y316" s="4">
        <f t="shared" si="22"/>
        <v>0.00787833395872422</v>
      </c>
      <c r="Z316" s="4">
        <f t="shared" si="24"/>
        <v>-0.00178881355932204</v>
      </c>
      <c r="AA316" s="4">
        <f t="shared" si="23"/>
        <v>-0.00450797760671799</v>
      </c>
    </row>
    <row r="317" s="4" customFormat="1" ht="15" customHeight="1" spans="1:27">
      <c r="A317" s="6" t="s">
        <v>87</v>
      </c>
      <c r="B317" s="1">
        <v>36</v>
      </c>
      <c r="C317" s="1">
        <v>1.1476</v>
      </c>
      <c r="D317" s="1">
        <v>12.671</v>
      </c>
      <c r="E317" s="1">
        <v>0.3952</v>
      </c>
      <c r="F317" s="1">
        <v>1.458</v>
      </c>
      <c r="G317" s="1">
        <f t="shared" si="20"/>
        <v>0.0487725411214275</v>
      </c>
      <c r="W317" s="8"/>
      <c r="X317" s="4">
        <f t="shared" si="21"/>
        <v>0.00947197300771213</v>
      </c>
      <c r="Y317" s="4">
        <f t="shared" si="22"/>
        <v>0.0399280900562852</v>
      </c>
      <c r="Z317" s="4">
        <f t="shared" si="24"/>
        <v>-0.0127452966101695</v>
      </c>
      <c r="AA317" s="4">
        <f t="shared" si="23"/>
        <v>0.0121177746675997</v>
      </c>
    </row>
    <row r="318" s="4" customFormat="1" ht="15" customHeight="1" spans="1:27">
      <c r="A318" s="6" t="s">
        <v>87</v>
      </c>
      <c r="B318" s="1">
        <v>36</v>
      </c>
      <c r="C318" s="1">
        <v>1.2204</v>
      </c>
      <c r="D318" s="1">
        <v>12.854</v>
      </c>
      <c r="E318" s="1">
        <v>0.4161</v>
      </c>
      <c r="F318" s="1">
        <v>1.689</v>
      </c>
      <c r="G318" s="1">
        <f t="shared" si="20"/>
        <v>0.105538184169774</v>
      </c>
      <c r="W318" s="8"/>
      <c r="X318" s="4">
        <f t="shared" si="21"/>
        <v>0.0651714588688946</v>
      </c>
      <c r="Y318" s="4">
        <f t="shared" si="22"/>
        <v>0.0349702664165103</v>
      </c>
      <c r="Z318" s="4">
        <f t="shared" si="24"/>
        <v>0.00283228813559324</v>
      </c>
      <c r="AA318" s="4">
        <f t="shared" si="23"/>
        <v>0.00256417074877536</v>
      </c>
    </row>
    <row r="319" s="4" customFormat="1" ht="15" customHeight="1" spans="1:27">
      <c r="A319" s="6" t="s">
        <v>87</v>
      </c>
      <c r="B319" s="1">
        <v>36</v>
      </c>
      <c r="C319" s="1">
        <v>1.2064</v>
      </c>
      <c r="D319" s="1">
        <v>11.492</v>
      </c>
      <c r="E319" s="1">
        <v>0.3452</v>
      </c>
      <c r="F319" s="1">
        <v>1.637</v>
      </c>
      <c r="G319" s="1">
        <f t="shared" si="20"/>
        <v>0.0810320175118377</v>
      </c>
      <c r="H319" s="11"/>
      <c r="W319" s="8" t="s">
        <v>88</v>
      </c>
      <c r="X319" s="4">
        <f t="shared" si="21"/>
        <v>0.0544600192802057</v>
      </c>
      <c r="Y319" s="4">
        <f t="shared" si="22"/>
        <v>0.071869478424015</v>
      </c>
      <c r="Z319" s="4">
        <f t="shared" si="24"/>
        <v>-0.0500122457627119</v>
      </c>
      <c r="AA319" s="4">
        <f t="shared" si="23"/>
        <v>0.0047147655703289</v>
      </c>
    </row>
    <row r="320" s="4" customFormat="1" ht="15" customHeight="1" spans="1:27">
      <c r="A320" s="6" t="s">
        <v>87</v>
      </c>
      <c r="B320" s="1">
        <v>36</v>
      </c>
      <c r="C320" s="1">
        <v>1.2105</v>
      </c>
      <c r="D320" s="1">
        <v>12.451</v>
      </c>
      <c r="E320" s="1">
        <v>0.3737</v>
      </c>
      <c r="F320" s="1">
        <v>1.528</v>
      </c>
      <c r="G320" s="1">
        <f t="shared" si="20"/>
        <v>0.0839379145023183</v>
      </c>
      <c r="W320" s="8"/>
      <c r="X320" s="4">
        <f t="shared" si="21"/>
        <v>0.057596940874036</v>
      </c>
      <c r="Y320" s="4">
        <f t="shared" si="22"/>
        <v>0.0458883151969981</v>
      </c>
      <c r="Z320" s="4">
        <f t="shared" si="24"/>
        <v>-0.0287700847457627</v>
      </c>
      <c r="AA320" s="4">
        <f t="shared" si="23"/>
        <v>0.00922274317704688</v>
      </c>
    </row>
    <row r="321" s="4" customFormat="1" ht="15" customHeight="1" spans="1:27">
      <c r="A321" s="6" t="s">
        <v>87</v>
      </c>
      <c r="B321" s="1">
        <v>36</v>
      </c>
      <c r="C321" s="1">
        <v>1.2628</v>
      </c>
      <c r="D321" s="1">
        <v>14.141</v>
      </c>
      <c r="E321" s="1">
        <v>0.3481</v>
      </c>
      <c r="F321" s="1">
        <v>1.888</v>
      </c>
      <c r="G321" s="1">
        <f t="shared" si="20"/>
        <v>0.0441980151946029</v>
      </c>
      <c r="W321" s="8"/>
      <c r="X321" s="4">
        <f t="shared" si="21"/>
        <v>0.0976118187660669</v>
      </c>
      <c r="Y321" s="4">
        <f t="shared" si="22"/>
        <v>0.000102949343339588</v>
      </c>
      <c r="Z321" s="4">
        <f t="shared" si="24"/>
        <v>-0.0478507627118644</v>
      </c>
      <c r="AA321" s="4">
        <f t="shared" si="23"/>
        <v>-0.00566599020293912</v>
      </c>
    </row>
    <row r="322" s="4" customFormat="1" ht="15" customHeight="1" spans="1:27">
      <c r="A322" s="6" t="s">
        <v>87</v>
      </c>
      <c r="B322" s="1">
        <v>36</v>
      </c>
      <c r="C322" s="1">
        <v>1.2396</v>
      </c>
      <c r="D322" s="1">
        <v>13.682</v>
      </c>
      <c r="E322" s="1">
        <v>0.3576</v>
      </c>
      <c r="F322" s="1">
        <v>1.773</v>
      </c>
      <c r="G322" s="1">
        <f t="shared" ref="G322:G385" si="25">SUM(X322,Y322,Z322,AA322)</f>
        <v>0.0507196700906478</v>
      </c>
      <c r="W322" s="8"/>
      <c r="X322" s="4">
        <f t="shared" ref="X322:X385" si="26">(C322-S$2)/N$2*I$2</f>
        <v>0.0798614331619538</v>
      </c>
      <c r="Y322" s="4">
        <f t="shared" ref="Y322:Y385" si="27">(T$2-D322)/O$2*J$2</f>
        <v>0.0125381463414634</v>
      </c>
      <c r="Z322" s="4">
        <f t="shared" si="24"/>
        <v>-0.0407700423728814</v>
      </c>
      <c r="AA322" s="4">
        <f t="shared" ref="AA322:AA385" si="28">(V$2-F322)/Q$2*L$2</f>
        <v>-0.000909867039888034</v>
      </c>
    </row>
    <row r="323" s="4" customFormat="1" ht="15" customHeight="1" spans="1:27">
      <c r="A323" s="6" t="s">
        <v>87</v>
      </c>
      <c r="B323" s="1">
        <v>36</v>
      </c>
      <c r="C323" s="1">
        <v>1.1262</v>
      </c>
      <c r="D323" s="1">
        <v>13.147</v>
      </c>
      <c r="E323" s="1">
        <v>0.3888</v>
      </c>
      <c r="F323" s="1">
        <v>1.773</v>
      </c>
      <c r="G323" s="1">
        <f t="shared" si="25"/>
        <v>0.00170576955836943</v>
      </c>
      <c r="W323" s="8"/>
      <c r="X323" s="4">
        <f t="shared" si="26"/>
        <v>-0.00690122750642659</v>
      </c>
      <c r="Y323" s="4">
        <f t="shared" si="27"/>
        <v>0.027032330206379</v>
      </c>
      <c r="Z323" s="4">
        <f t="shared" si="24"/>
        <v>-0.0175154661016949</v>
      </c>
      <c r="AA323" s="4">
        <f t="shared" si="28"/>
        <v>-0.000909867039888034</v>
      </c>
    </row>
    <row r="324" s="4" customFormat="1" ht="15" customHeight="1" spans="1:27">
      <c r="A324" s="6" t="s">
        <v>87</v>
      </c>
      <c r="B324" s="1">
        <v>36</v>
      </c>
      <c r="C324" s="1">
        <v>1.1736</v>
      </c>
      <c r="D324" s="1">
        <v>12.091</v>
      </c>
      <c r="E324" s="1">
        <v>0.3556</v>
      </c>
      <c r="F324" s="1">
        <v>1.593</v>
      </c>
      <c r="G324" s="1">
        <f t="shared" si="25"/>
        <v>0.0492798367224861</v>
      </c>
      <c r="W324" s="8"/>
      <c r="X324" s="4">
        <f t="shared" si="26"/>
        <v>0.029364646529563</v>
      </c>
      <c r="Y324" s="4">
        <f t="shared" si="27"/>
        <v>0.0556414108818011</v>
      </c>
      <c r="Z324" s="4">
        <f t="shared" si="24"/>
        <v>-0.042260720338983</v>
      </c>
      <c r="AA324" s="4">
        <f t="shared" si="28"/>
        <v>0.00653449965010496</v>
      </c>
    </row>
    <row r="325" s="4" customFormat="1" ht="15" customHeight="1" spans="1:27">
      <c r="A325" s="6" t="s">
        <v>89</v>
      </c>
      <c r="B325" s="1">
        <v>37</v>
      </c>
      <c r="C325" s="1">
        <v>1.1527</v>
      </c>
      <c r="D325" s="1">
        <v>16.184</v>
      </c>
      <c r="E325" s="1">
        <v>0.3751</v>
      </c>
      <c r="F325" s="1">
        <v>1.875</v>
      </c>
      <c r="G325" s="1">
        <f t="shared" si="25"/>
        <v>-0.0747268229056537</v>
      </c>
      <c r="W325" s="8"/>
      <c r="X325" s="4">
        <f t="shared" si="26"/>
        <v>0.013373997429306</v>
      </c>
      <c r="Y325" s="4">
        <f t="shared" si="27"/>
        <v>-0.0552458686679175</v>
      </c>
      <c r="Z325" s="4">
        <f t="shared" si="24"/>
        <v>-0.0277266101694915</v>
      </c>
      <c r="AA325" s="4">
        <f t="shared" si="28"/>
        <v>-0.00512834149755074</v>
      </c>
    </row>
    <row r="326" s="4" customFormat="1" ht="15" customHeight="1" spans="1:27">
      <c r="A326" s="6" t="s">
        <v>89</v>
      </c>
      <c r="B326" s="1">
        <v>37</v>
      </c>
      <c r="C326" s="1">
        <v>1.1824</v>
      </c>
      <c r="D326" s="1">
        <v>14.172</v>
      </c>
      <c r="E326" s="1">
        <v>0.387</v>
      </c>
      <c r="F326" s="1">
        <v>1.851</v>
      </c>
      <c r="G326" s="1">
        <f t="shared" si="25"/>
        <v>0.0123678153076252</v>
      </c>
      <c r="W326" s="8"/>
      <c r="X326" s="4">
        <f t="shared" si="26"/>
        <v>0.0360975514138817</v>
      </c>
      <c r="Y326" s="4">
        <f t="shared" si="27"/>
        <v>-0.000736900562851797</v>
      </c>
      <c r="Z326" s="4">
        <f t="shared" si="24"/>
        <v>-0.0188570762711864</v>
      </c>
      <c r="AA326" s="4">
        <f t="shared" si="28"/>
        <v>-0.00413575927221834</v>
      </c>
    </row>
    <row r="327" s="4" customFormat="1" ht="15" customHeight="1" spans="1:27">
      <c r="A327" s="6" t="s">
        <v>89</v>
      </c>
      <c r="B327" s="1">
        <v>37</v>
      </c>
      <c r="C327" s="1">
        <v>1.227</v>
      </c>
      <c r="D327" s="1">
        <v>15.16</v>
      </c>
      <c r="E327" s="1">
        <v>0.411</v>
      </c>
      <c r="F327" s="1">
        <v>1.949</v>
      </c>
      <c r="G327" s="1">
        <f t="shared" si="25"/>
        <v>0.0335596636640309</v>
      </c>
      <c r="W327" s="8"/>
      <c r="X327" s="4">
        <f t="shared" si="26"/>
        <v>0.0702211375321338</v>
      </c>
      <c r="Y327" s="4">
        <f t="shared" si="27"/>
        <v>-0.0275037298311445</v>
      </c>
      <c r="Z327" s="4">
        <f t="shared" si="24"/>
        <v>-0.000968940677966119</v>
      </c>
      <c r="AA327" s="4">
        <f t="shared" si="28"/>
        <v>-0.00818880335899231</v>
      </c>
    </row>
    <row r="328" s="4" customFormat="1" ht="15" customHeight="1" spans="1:27">
      <c r="A328" s="6" t="s">
        <v>89</v>
      </c>
      <c r="B328" s="1">
        <v>37</v>
      </c>
      <c r="C328" s="1">
        <v>1.2073</v>
      </c>
      <c r="D328" s="1">
        <v>15.965</v>
      </c>
      <c r="E328" s="1">
        <v>0.4128</v>
      </c>
      <c r="F328" s="1">
        <v>2.038</v>
      </c>
      <c r="G328" s="1">
        <f t="shared" si="25"/>
        <v>-0.00566108325421057</v>
      </c>
      <c r="H328" s="7"/>
      <c r="W328" s="8" t="s">
        <v>90</v>
      </c>
      <c r="X328" s="4">
        <f t="shared" si="26"/>
        <v>0.0551486118251929</v>
      </c>
      <c r="Y328" s="4">
        <f t="shared" si="27"/>
        <v>-0.0493127354596623</v>
      </c>
      <c r="Z328" s="4">
        <f t="shared" si="24"/>
        <v>0.000372669491525424</v>
      </c>
      <c r="AA328" s="4">
        <f t="shared" si="28"/>
        <v>-0.0118696291112666</v>
      </c>
    </row>
    <row r="329" s="4" customFormat="1" ht="15" customHeight="1" spans="1:27">
      <c r="A329" s="6" t="s">
        <v>89</v>
      </c>
      <c r="B329" s="1">
        <v>37</v>
      </c>
      <c r="C329" s="1">
        <v>1.1763</v>
      </c>
      <c r="D329" s="1">
        <v>13.244</v>
      </c>
      <c r="E329" s="1">
        <v>0.3551</v>
      </c>
      <c r="F329" s="1">
        <v>1.722</v>
      </c>
      <c r="G329" s="1">
        <f t="shared" si="25"/>
        <v>0.014400817280933</v>
      </c>
      <c r="W329" s="8"/>
      <c r="X329" s="4">
        <f t="shared" si="26"/>
        <v>0.0314304241645244</v>
      </c>
      <c r="Y329" s="4">
        <f t="shared" si="27"/>
        <v>0.0244044127579737</v>
      </c>
      <c r="Z329" s="4">
        <f t="shared" si="24"/>
        <v>-0.0426333898305085</v>
      </c>
      <c r="AA329" s="4">
        <f t="shared" si="28"/>
        <v>0.00119937018894331</v>
      </c>
    </row>
    <row r="330" s="4" customFormat="1" ht="15" customHeight="1" spans="1:27">
      <c r="A330" s="6" t="s">
        <v>89</v>
      </c>
      <c r="B330" s="1">
        <v>37</v>
      </c>
      <c r="C330" s="1">
        <v>1.3054</v>
      </c>
      <c r="D330" s="1">
        <v>13.86</v>
      </c>
      <c r="E330" s="1">
        <v>0.4147</v>
      </c>
      <c r="F330" s="1">
        <v>1.664</v>
      </c>
      <c r="G330" s="1">
        <f t="shared" si="25"/>
        <v>0.143307905718921</v>
      </c>
      <c r="W330" s="8"/>
      <c r="X330" s="4">
        <f t="shared" si="26"/>
        <v>0.130205199228792</v>
      </c>
      <c r="Y330" s="4">
        <f t="shared" si="27"/>
        <v>0.0077157823639775</v>
      </c>
      <c r="Z330" s="4">
        <f t="shared" si="24"/>
        <v>0.00178881355932204</v>
      </c>
      <c r="AA330" s="4">
        <f t="shared" si="28"/>
        <v>0.00359811056682995</v>
      </c>
    </row>
    <row r="331" s="4" customFormat="1" ht="15" customHeight="1" spans="1:27">
      <c r="A331" s="6" t="s">
        <v>89</v>
      </c>
      <c r="B331" s="1">
        <v>37</v>
      </c>
      <c r="C331" s="1">
        <v>1.2799</v>
      </c>
      <c r="D331" s="1">
        <v>16.841</v>
      </c>
      <c r="E331" s="1">
        <v>0.401</v>
      </c>
      <c r="F331" s="1">
        <v>2.125</v>
      </c>
      <c r="G331" s="1">
        <f t="shared" si="25"/>
        <v>0.0137597386415686</v>
      </c>
      <c r="W331" s="8"/>
      <c r="X331" s="4">
        <f t="shared" si="26"/>
        <v>0.110695077120823</v>
      </c>
      <c r="Y331" s="4">
        <f t="shared" si="27"/>
        <v>-0.073045268292683</v>
      </c>
      <c r="Z331" s="4">
        <f t="shared" si="24"/>
        <v>-0.00842233050847456</v>
      </c>
      <c r="AA331" s="4">
        <f t="shared" si="28"/>
        <v>-0.0154677396780966</v>
      </c>
    </row>
    <row r="332" s="4" customFormat="1" ht="15" customHeight="1" spans="1:27">
      <c r="A332" s="6" t="s">
        <v>89</v>
      </c>
      <c r="B332" s="1">
        <v>37</v>
      </c>
      <c r="C332" s="1">
        <v>1.2549</v>
      </c>
      <c r="D332" s="1">
        <v>16.936</v>
      </c>
      <c r="E332" s="1">
        <v>0.4052</v>
      </c>
      <c r="F332" s="1">
        <v>2.037</v>
      </c>
      <c r="G332" s="1">
        <f t="shared" si="25"/>
        <v>-0.00117167374764284</v>
      </c>
      <c r="W332" s="8"/>
      <c r="X332" s="4">
        <f t="shared" si="26"/>
        <v>0.0915675064267352</v>
      </c>
      <c r="Y332" s="4">
        <f t="shared" si="27"/>
        <v>-0.0756190018761726</v>
      </c>
      <c r="Z332" s="4">
        <f t="shared" si="24"/>
        <v>-0.00529190677966101</v>
      </c>
      <c r="AA332" s="4">
        <f t="shared" si="28"/>
        <v>-0.0118282715185444</v>
      </c>
    </row>
    <row r="333" s="4" customFormat="1" ht="15" customHeight="1" spans="1:27">
      <c r="A333" s="6" t="s">
        <v>89</v>
      </c>
      <c r="B333" s="1">
        <v>37</v>
      </c>
      <c r="C333" s="1">
        <v>1.1911</v>
      </c>
      <c r="D333" s="1">
        <v>13.045</v>
      </c>
      <c r="E333" s="1">
        <v>0.4195</v>
      </c>
      <c r="F333" s="1">
        <v>1.733</v>
      </c>
      <c r="G333" s="1">
        <f t="shared" si="25"/>
        <v>0.0786605306794628</v>
      </c>
      <c r="W333" s="8"/>
      <c r="X333" s="4">
        <f t="shared" si="26"/>
        <v>0.0427539460154243</v>
      </c>
      <c r="Y333" s="4">
        <f t="shared" si="27"/>
        <v>0.0297957073170732</v>
      </c>
      <c r="Z333" s="4">
        <f t="shared" si="24"/>
        <v>0.00536644067796609</v>
      </c>
      <c r="AA333" s="4">
        <f t="shared" si="28"/>
        <v>0.000744436668999292</v>
      </c>
    </row>
    <row r="334" s="4" customFormat="1" ht="15" customHeight="1" spans="1:27">
      <c r="A334" s="6" t="s">
        <v>91</v>
      </c>
      <c r="B334" s="1">
        <v>38</v>
      </c>
      <c r="C334" s="1">
        <v>1.079</v>
      </c>
      <c r="D334" s="1">
        <v>17.628</v>
      </c>
      <c r="E334" s="1">
        <v>0.3485</v>
      </c>
      <c r="F334" s="1">
        <v>2.204</v>
      </c>
      <c r="G334" s="1">
        <f t="shared" si="25"/>
        <v>-0.203668316735617</v>
      </c>
      <c r="W334" s="8"/>
      <c r="X334" s="4">
        <f t="shared" si="26"/>
        <v>-0.0430140809768637</v>
      </c>
      <c r="Y334" s="4">
        <f t="shared" si="27"/>
        <v>-0.0943666191369606</v>
      </c>
      <c r="Z334" s="4">
        <f t="shared" si="24"/>
        <v>-0.0475526271186441</v>
      </c>
      <c r="AA334" s="4">
        <f t="shared" si="28"/>
        <v>-0.0187349895031491</v>
      </c>
    </row>
    <row r="335" s="4" customFormat="1" ht="15" customHeight="1" spans="1:27">
      <c r="A335" s="6" t="s">
        <v>91</v>
      </c>
      <c r="B335" s="1">
        <v>38</v>
      </c>
      <c r="C335" s="1">
        <v>1.1228</v>
      </c>
      <c r="D335" s="1">
        <v>17.338</v>
      </c>
      <c r="E335" s="1">
        <v>0.3881</v>
      </c>
      <c r="F335" s="1">
        <v>2.052</v>
      </c>
      <c r="G335" s="1">
        <f t="shared" si="25"/>
        <v>-0.126498374644233</v>
      </c>
      <c r="W335" s="8"/>
      <c r="X335" s="4">
        <f t="shared" si="26"/>
        <v>-0.00950257712082253</v>
      </c>
      <c r="Y335" s="4">
        <f t="shared" si="27"/>
        <v>-0.0865099587242027</v>
      </c>
      <c r="Z335" s="4">
        <f t="shared" si="24"/>
        <v>-0.0180372033898305</v>
      </c>
      <c r="AA335" s="4">
        <f t="shared" si="28"/>
        <v>-0.0124486354093772</v>
      </c>
    </row>
    <row r="336" s="4" customFormat="1" ht="15" customHeight="1" spans="1:27">
      <c r="A336" s="6" t="s">
        <v>91</v>
      </c>
      <c r="B336" s="1">
        <v>38</v>
      </c>
      <c r="C336" s="1">
        <v>1.1745</v>
      </c>
      <c r="D336" s="1">
        <v>18.281</v>
      </c>
      <c r="E336" s="1">
        <v>0.3701</v>
      </c>
      <c r="F336" s="1">
        <v>2.104</v>
      </c>
      <c r="G336" s="1">
        <f t="shared" si="25"/>
        <v>-0.128056947273021</v>
      </c>
      <c r="W336" s="8"/>
      <c r="X336" s="4">
        <f t="shared" si="26"/>
        <v>0.0300532390745503</v>
      </c>
      <c r="Y336" s="4">
        <f t="shared" si="27"/>
        <v>-0.112057651031895</v>
      </c>
      <c r="Z336" s="4">
        <f t="shared" si="24"/>
        <v>-0.0314533050847458</v>
      </c>
      <c r="AA336" s="4">
        <f t="shared" si="28"/>
        <v>-0.0145992302309307</v>
      </c>
    </row>
    <row r="337" s="4" customFormat="1" ht="15" customHeight="1" spans="1:27">
      <c r="A337" s="6" t="s">
        <v>91</v>
      </c>
      <c r="B337" s="1">
        <v>38</v>
      </c>
      <c r="C337" s="1">
        <v>1.2067</v>
      </c>
      <c r="D337" s="1">
        <v>18.936</v>
      </c>
      <c r="E337" s="1">
        <v>0.3799</v>
      </c>
      <c r="F337" s="1">
        <v>2.342</v>
      </c>
      <c r="G337" s="1">
        <f t="shared" si="25"/>
        <v>-0.123704637012868</v>
      </c>
      <c r="H337" s="7"/>
      <c r="W337" s="8" t="s">
        <v>92</v>
      </c>
      <c r="X337" s="4">
        <f t="shared" si="26"/>
        <v>0.0546895501285349</v>
      </c>
      <c r="Y337" s="4">
        <f t="shared" si="27"/>
        <v>-0.129802866791745</v>
      </c>
      <c r="Z337" s="4">
        <f t="shared" si="24"/>
        <v>-0.0241489830508474</v>
      </c>
      <c r="AA337" s="4">
        <f t="shared" si="28"/>
        <v>-0.0244423372988104</v>
      </c>
    </row>
    <row r="338" s="4" customFormat="1" ht="15" customHeight="1" spans="1:27">
      <c r="A338" s="6" t="s">
        <v>91</v>
      </c>
      <c r="B338" s="1">
        <v>38</v>
      </c>
      <c r="C338" s="1">
        <v>1.086</v>
      </c>
      <c r="D338" s="1">
        <v>17.767</v>
      </c>
      <c r="E338" s="1">
        <v>0.3861</v>
      </c>
      <c r="F338" s="1">
        <v>2.176</v>
      </c>
      <c r="G338" s="1">
        <f t="shared" si="25"/>
        <v>-0.172895617193972</v>
      </c>
      <c r="W338" s="8"/>
      <c r="X338" s="4">
        <f t="shared" si="26"/>
        <v>-0.0376583611825191</v>
      </c>
      <c r="Y338" s="4">
        <f t="shared" si="27"/>
        <v>-0.0981323977485929</v>
      </c>
      <c r="Z338" s="4">
        <f t="shared" si="24"/>
        <v>-0.0195278813559322</v>
      </c>
      <c r="AA338" s="4">
        <f t="shared" si="28"/>
        <v>-0.0175769769069279</v>
      </c>
    </row>
    <row r="339" s="4" customFormat="1" ht="15" customHeight="1" spans="1:27">
      <c r="A339" s="6" t="s">
        <v>91</v>
      </c>
      <c r="B339" s="1">
        <v>38</v>
      </c>
      <c r="C339" s="1">
        <v>1.1516</v>
      </c>
      <c r="D339" s="1">
        <v>16.909</v>
      </c>
      <c r="E339" s="1">
        <v>0.3292</v>
      </c>
      <c r="F339" s="1">
        <v>2.297</v>
      </c>
      <c r="G339" s="1">
        <f t="shared" si="25"/>
        <v>-0.146874050498884</v>
      </c>
      <c r="W339" s="8"/>
      <c r="X339" s="4">
        <f t="shared" si="26"/>
        <v>0.0125323843187661</v>
      </c>
      <c r="Y339" s="4">
        <f t="shared" si="27"/>
        <v>-0.0748875196998123</v>
      </c>
      <c r="Z339" s="4">
        <f t="shared" ref="Z339:Z402" si="29">(E339-U$2)/P$2*K$2</f>
        <v>-0.0619376694915254</v>
      </c>
      <c r="AA339" s="4">
        <f t="shared" si="28"/>
        <v>-0.0225812456263121</v>
      </c>
    </row>
    <row r="340" s="4" customFormat="1" ht="15" customHeight="1" spans="1:27">
      <c r="A340" s="6" t="s">
        <v>91</v>
      </c>
      <c r="B340" s="1">
        <v>38</v>
      </c>
      <c r="C340" s="1">
        <v>1.1603</v>
      </c>
      <c r="D340" s="1">
        <v>16.31</v>
      </c>
      <c r="E340" s="1">
        <v>0.3506</v>
      </c>
      <c r="F340" s="1">
        <v>2.185</v>
      </c>
      <c r="G340" s="1">
        <f t="shared" si="25"/>
        <v>-0.103407283732955</v>
      </c>
      <c r="W340" s="8"/>
      <c r="X340" s="4">
        <f t="shared" si="26"/>
        <v>0.0191887789203086</v>
      </c>
      <c r="Y340" s="4">
        <f t="shared" si="27"/>
        <v>-0.0586594521575985</v>
      </c>
      <c r="Z340" s="4">
        <f t="shared" si="29"/>
        <v>-0.0459874152542373</v>
      </c>
      <c r="AA340" s="4">
        <f t="shared" si="28"/>
        <v>-0.0179491952414276</v>
      </c>
    </row>
    <row r="341" s="4" customFormat="1" ht="15" customHeight="1" spans="1:27">
      <c r="A341" s="6" t="s">
        <v>91</v>
      </c>
      <c r="B341" s="1">
        <v>38</v>
      </c>
      <c r="C341" s="1">
        <v>1.1502</v>
      </c>
      <c r="D341" s="1">
        <v>16.107</v>
      </c>
      <c r="E341" s="1">
        <v>0.3401</v>
      </c>
      <c r="F341" s="1">
        <v>2.021</v>
      </c>
      <c r="G341" s="1">
        <f t="shared" si="25"/>
        <v>-0.106678574120031</v>
      </c>
      <c r="W341" s="8"/>
      <c r="X341" s="4">
        <f t="shared" si="26"/>
        <v>0.0114612403598972</v>
      </c>
      <c r="Y341" s="4">
        <f t="shared" si="27"/>
        <v>-0.0531597898686679</v>
      </c>
      <c r="Z341" s="4">
        <f t="shared" si="29"/>
        <v>-0.0538134745762712</v>
      </c>
      <c r="AA341" s="4">
        <f t="shared" si="28"/>
        <v>-0.0111665500349895</v>
      </c>
    </row>
    <row r="342" s="4" customFormat="1" ht="15" customHeight="1" spans="1:27">
      <c r="A342" s="6" t="s">
        <v>91</v>
      </c>
      <c r="B342" s="1">
        <v>38</v>
      </c>
      <c r="C342" s="1">
        <v>1.1406</v>
      </c>
      <c r="D342" s="1">
        <v>17.26</v>
      </c>
      <c r="E342" s="1">
        <v>0.3856</v>
      </c>
      <c r="F342" s="1">
        <v>2.028</v>
      </c>
      <c r="G342" s="1">
        <f t="shared" si="25"/>
        <v>-0.11163713881063</v>
      </c>
      <c r="W342" s="8"/>
      <c r="X342" s="4">
        <f t="shared" si="26"/>
        <v>0.00411625321336773</v>
      </c>
      <c r="Y342" s="4">
        <f t="shared" si="27"/>
        <v>-0.0843967879924954</v>
      </c>
      <c r="Z342" s="4">
        <f t="shared" si="29"/>
        <v>-0.0199005508474576</v>
      </c>
      <c r="AA342" s="4">
        <f t="shared" si="28"/>
        <v>-0.0114560531840448</v>
      </c>
    </row>
    <row r="343" s="4" customFormat="1" ht="15" customHeight="1" spans="1:27">
      <c r="A343" s="6" t="s">
        <v>93</v>
      </c>
      <c r="B343" s="1">
        <v>39</v>
      </c>
      <c r="C343" s="1">
        <v>1.1799</v>
      </c>
      <c r="D343" s="1">
        <v>15.534</v>
      </c>
      <c r="E343" s="1">
        <v>0.3473</v>
      </c>
      <c r="F343" s="1">
        <v>1.948</v>
      </c>
      <c r="G343" s="1">
        <f t="shared" si="25"/>
        <v>-0.0600457978904587</v>
      </c>
      <c r="W343" s="8"/>
      <c r="X343" s="4">
        <f t="shared" si="26"/>
        <v>0.034184794344473</v>
      </c>
      <c r="Y343" s="4">
        <f t="shared" si="27"/>
        <v>-0.0376361125703565</v>
      </c>
      <c r="Z343" s="4">
        <f t="shared" si="29"/>
        <v>-0.0484470338983051</v>
      </c>
      <c r="AA343" s="4">
        <f t="shared" si="28"/>
        <v>-0.00814744576627012</v>
      </c>
    </row>
    <row r="344" s="4" customFormat="1" ht="15" customHeight="1" spans="1:27">
      <c r="A344" s="6" t="s">
        <v>93</v>
      </c>
      <c r="B344" s="1">
        <v>39</v>
      </c>
      <c r="C344" s="1">
        <v>1.1903</v>
      </c>
      <c r="D344" s="1">
        <v>17.194</v>
      </c>
      <c r="E344" s="1">
        <v>0.3815</v>
      </c>
      <c r="F344" s="1">
        <v>2.138</v>
      </c>
      <c r="G344" s="1">
        <f t="shared" si="25"/>
        <v>-0.0794286857585191</v>
      </c>
      <c r="W344" s="8"/>
      <c r="X344" s="4">
        <f t="shared" si="26"/>
        <v>0.0421418637532134</v>
      </c>
      <c r="Y344" s="4">
        <f t="shared" si="27"/>
        <v>-0.0826087204502814</v>
      </c>
      <c r="Z344" s="4">
        <f t="shared" si="29"/>
        <v>-0.0229564406779661</v>
      </c>
      <c r="AA344" s="4">
        <f t="shared" si="28"/>
        <v>-0.016005388383485</v>
      </c>
    </row>
    <row r="345" s="4" customFormat="1" ht="15" customHeight="1" spans="1:27">
      <c r="A345" s="6" t="s">
        <v>93</v>
      </c>
      <c r="B345" s="1">
        <v>39</v>
      </c>
      <c r="C345" s="1">
        <v>1.2755</v>
      </c>
      <c r="D345" s="1">
        <v>17.818</v>
      </c>
      <c r="E345" s="1">
        <v>0.3722</v>
      </c>
      <c r="F345" s="1">
        <v>2.118</v>
      </c>
      <c r="G345" s="1">
        <f t="shared" si="25"/>
        <v>-0.0372517913746569</v>
      </c>
      <c r="W345" s="8"/>
      <c r="X345" s="4">
        <f t="shared" si="26"/>
        <v>0.107328624678663</v>
      </c>
      <c r="Y345" s="4">
        <f t="shared" si="27"/>
        <v>-0.09951408630394</v>
      </c>
      <c r="Z345" s="4">
        <f t="shared" si="29"/>
        <v>-0.029888093220339</v>
      </c>
      <c r="AA345" s="4">
        <f t="shared" si="28"/>
        <v>-0.0151782365290413</v>
      </c>
    </row>
    <row r="346" s="4" customFormat="1" ht="15" customHeight="1" spans="1:27">
      <c r="A346" s="6" t="s">
        <v>93</v>
      </c>
      <c r="B346" s="1">
        <v>39</v>
      </c>
      <c r="C346" s="1">
        <v>1.2077</v>
      </c>
      <c r="D346" s="1">
        <v>16.104</v>
      </c>
      <c r="E346" s="1">
        <v>0.3353</v>
      </c>
      <c r="F346" s="1">
        <v>1.925</v>
      </c>
      <c r="G346" s="1">
        <f t="shared" si="25"/>
        <v>-0.0622111839435714</v>
      </c>
      <c r="H346" s="7"/>
      <c r="W346" s="8" t="s">
        <v>94</v>
      </c>
      <c r="X346" s="4">
        <f t="shared" si="26"/>
        <v>0.0554546529562983</v>
      </c>
      <c r="Y346" s="4">
        <f t="shared" si="27"/>
        <v>-0.0530785140712945</v>
      </c>
      <c r="Z346" s="4">
        <f t="shared" si="29"/>
        <v>-0.0573911016949153</v>
      </c>
      <c r="AA346" s="4">
        <f t="shared" si="28"/>
        <v>-0.00719622113365991</v>
      </c>
    </row>
    <row r="347" s="4" customFormat="1" ht="15" customHeight="1" spans="1:27">
      <c r="A347" s="6" t="s">
        <v>93</v>
      </c>
      <c r="B347" s="1">
        <v>39</v>
      </c>
      <c r="C347" s="1">
        <v>1.2364</v>
      </c>
      <c r="D347" s="1">
        <v>15.699</v>
      </c>
      <c r="E347" s="1">
        <v>0.3349</v>
      </c>
      <c r="F347" s="1">
        <v>1.923</v>
      </c>
      <c r="G347" s="1">
        <f t="shared" si="25"/>
        <v>-0.0294959205491317</v>
      </c>
      <c r="W347" s="8"/>
      <c r="X347" s="4">
        <f t="shared" si="26"/>
        <v>0.0774131041131106</v>
      </c>
      <c r="Y347" s="4">
        <f t="shared" si="27"/>
        <v>-0.0421062814258912</v>
      </c>
      <c r="Z347" s="4">
        <f t="shared" si="29"/>
        <v>-0.0576892372881356</v>
      </c>
      <c r="AA347" s="4">
        <f t="shared" si="28"/>
        <v>-0.00711350594821554</v>
      </c>
    </row>
    <row r="348" s="4" customFormat="1" ht="15" customHeight="1" spans="1:27">
      <c r="A348" s="6" t="s">
        <v>93</v>
      </c>
      <c r="B348" s="1">
        <v>39</v>
      </c>
      <c r="C348" s="1">
        <v>1.2868</v>
      </c>
      <c r="D348" s="1">
        <v>17.156</v>
      </c>
      <c r="E348" s="1">
        <v>0.3722</v>
      </c>
      <c r="F348" s="1">
        <v>2.247</v>
      </c>
      <c r="G348" s="1">
        <f t="shared" si="25"/>
        <v>-0.0160063995950367</v>
      </c>
      <c r="W348" s="8"/>
      <c r="X348" s="4">
        <f t="shared" si="26"/>
        <v>0.115974286632391</v>
      </c>
      <c r="Y348" s="4">
        <f t="shared" si="27"/>
        <v>-0.0815792270168855</v>
      </c>
      <c r="Z348" s="4">
        <f t="shared" si="29"/>
        <v>-0.029888093220339</v>
      </c>
      <c r="AA348" s="4">
        <f t="shared" si="28"/>
        <v>-0.0205133659902029</v>
      </c>
    </row>
    <row r="349" s="4" customFormat="1" ht="15" customHeight="1" spans="1:27">
      <c r="A349" s="6" t="s">
        <v>93</v>
      </c>
      <c r="B349" s="1">
        <v>39</v>
      </c>
      <c r="C349" s="1">
        <v>1.267</v>
      </c>
      <c r="D349" s="1">
        <v>16.716</v>
      </c>
      <c r="E349" s="1">
        <v>0.3531</v>
      </c>
      <c r="F349" s="1">
        <v>2.12</v>
      </c>
      <c r="G349" s="1">
        <f t="shared" si="25"/>
        <v>-0.028218545603882</v>
      </c>
      <c r="W349" s="8"/>
      <c r="X349" s="4">
        <f t="shared" si="26"/>
        <v>0.100825250642674</v>
      </c>
      <c r="Y349" s="4">
        <f t="shared" si="27"/>
        <v>-0.0696587767354597</v>
      </c>
      <c r="Z349" s="4">
        <f t="shared" si="29"/>
        <v>-0.0441240677966102</v>
      </c>
      <c r="AA349" s="4">
        <f t="shared" si="28"/>
        <v>-0.0152609517144857</v>
      </c>
    </row>
    <row r="350" s="4" customFormat="1" ht="15" customHeight="1" spans="1:27">
      <c r="A350" s="6" t="s">
        <v>93</v>
      </c>
      <c r="B350" s="1">
        <v>39</v>
      </c>
      <c r="C350" s="1">
        <v>1.3078</v>
      </c>
      <c r="D350" s="1">
        <v>14.133</v>
      </c>
      <c r="E350" s="1">
        <v>0.3665</v>
      </c>
      <c r="F350" s="1">
        <v>1.786</v>
      </c>
      <c r="G350" s="1">
        <f t="shared" si="25"/>
        <v>0.0967770896494209</v>
      </c>
      <c r="W350" s="8"/>
      <c r="X350" s="4">
        <f t="shared" si="26"/>
        <v>0.132041446015424</v>
      </c>
      <c r="Y350" s="4">
        <f t="shared" si="27"/>
        <v>0.000319684803001901</v>
      </c>
      <c r="Z350" s="4">
        <f t="shared" si="29"/>
        <v>-0.0341365254237288</v>
      </c>
      <c r="AA350" s="4">
        <f t="shared" si="28"/>
        <v>-0.00144751574527642</v>
      </c>
    </row>
    <row r="351" s="4" customFormat="1" ht="15" customHeight="1" spans="1:27">
      <c r="A351" s="6" t="s">
        <v>93</v>
      </c>
      <c r="B351" s="1">
        <v>39</v>
      </c>
      <c r="C351" s="1">
        <v>1.2157</v>
      </c>
      <c r="D351" s="1">
        <v>16.678</v>
      </c>
      <c r="E351" s="1">
        <v>0.4081</v>
      </c>
      <c r="F351" s="1">
        <v>2.139</v>
      </c>
      <c r="G351" s="1">
        <f t="shared" si="25"/>
        <v>-0.0262309774286783</v>
      </c>
      <c r="W351" s="8"/>
      <c r="X351" s="4">
        <f t="shared" si="26"/>
        <v>0.0615754755784062</v>
      </c>
      <c r="Y351" s="4">
        <f t="shared" si="27"/>
        <v>-0.0686292833020638</v>
      </c>
      <c r="Z351" s="4">
        <f t="shared" si="29"/>
        <v>-0.00313042372881355</v>
      </c>
      <c r="AA351" s="4">
        <f t="shared" si="28"/>
        <v>-0.0160467459762071</v>
      </c>
    </row>
    <row r="352" s="4" customFormat="1" ht="15" customHeight="1" spans="1:27">
      <c r="A352" s="6" t="s">
        <v>95</v>
      </c>
      <c r="B352" s="1">
        <v>40</v>
      </c>
      <c r="C352" s="1">
        <v>1.1846</v>
      </c>
      <c r="D352" s="1">
        <v>13.27</v>
      </c>
      <c r="E352" s="1">
        <v>0.4172</v>
      </c>
      <c r="F352" s="1">
        <v>1.701</v>
      </c>
      <c r="G352" s="1">
        <f t="shared" si="25"/>
        <v>0.0672008408020912</v>
      </c>
      <c r="W352" s="8"/>
      <c r="X352" s="4">
        <f t="shared" si="26"/>
        <v>0.0377807776349616</v>
      </c>
      <c r="Y352" s="4">
        <f t="shared" si="27"/>
        <v>0.0237000225140713</v>
      </c>
      <c r="Z352" s="4">
        <f t="shared" si="29"/>
        <v>0.00365216101694916</v>
      </c>
      <c r="AA352" s="4">
        <f t="shared" si="28"/>
        <v>0.00206787963610916</v>
      </c>
    </row>
    <row r="353" s="4" customFormat="1" ht="15" customHeight="1" spans="1:27">
      <c r="A353" s="6" t="s">
        <v>95</v>
      </c>
      <c r="B353" s="1">
        <v>40</v>
      </c>
      <c r="C353" s="1">
        <v>1.2478</v>
      </c>
      <c r="D353" s="1">
        <v>11.872</v>
      </c>
      <c r="E353" s="1">
        <v>0.3332</v>
      </c>
      <c r="F353" s="1">
        <v>1.6</v>
      </c>
      <c r="G353" s="1">
        <f t="shared" si="25"/>
        <v>0.0949985033813984</v>
      </c>
      <c r="W353" s="8"/>
      <c r="X353" s="4">
        <f t="shared" si="26"/>
        <v>0.0861352763496145</v>
      </c>
      <c r="Y353" s="4">
        <f t="shared" si="27"/>
        <v>0.0615745440900563</v>
      </c>
      <c r="Z353" s="4">
        <f t="shared" si="29"/>
        <v>-0.058956313559322</v>
      </c>
      <c r="AA353" s="4">
        <f t="shared" si="28"/>
        <v>0.00624499650104968</v>
      </c>
    </row>
    <row r="354" s="4" customFormat="1" ht="15" customHeight="1" spans="1:27">
      <c r="A354" s="6" t="s">
        <v>95</v>
      </c>
      <c r="B354" s="1">
        <v>40</v>
      </c>
      <c r="C354" s="1">
        <v>1.1845</v>
      </c>
      <c r="D354" s="1">
        <v>13.374</v>
      </c>
      <c r="E354" s="1">
        <v>0.3778</v>
      </c>
      <c r="F354" s="1">
        <v>1.771</v>
      </c>
      <c r="G354" s="1">
        <f t="shared" si="25"/>
        <v>0.0320453821209489</v>
      </c>
      <c r="W354" s="8"/>
      <c r="X354" s="4">
        <f t="shared" si="26"/>
        <v>0.0377042673521852</v>
      </c>
      <c r="Y354" s="4">
        <f t="shared" si="27"/>
        <v>0.0208824615384615</v>
      </c>
      <c r="Z354" s="4">
        <f t="shared" si="29"/>
        <v>-0.0257141949152542</v>
      </c>
      <c r="AA354" s="4">
        <f t="shared" si="28"/>
        <v>-0.000827151854443668</v>
      </c>
    </row>
    <row r="355" s="4" customFormat="1" ht="15" customHeight="1" spans="1:27">
      <c r="A355" s="6" t="s">
        <v>95</v>
      </c>
      <c r="B355" s="1">
        <v>40</v>
      </c>
      <c r="C355" s="1">
        <v>1.1572</v>
      </c>
      <c r="D355" s="1">
        <v>13.676</v>
      </c>
      <c r="E355" s="1">
        <v>0.3733</v>
      </c>
      <c r="F355" s="1">
        <v>1.574</v>
      </c>
      <c r="G355" s="1">
        <f t="shared" si="25"/>
        <v>0.00776973166329526</v>
      </c>
      <c r="H355" s="7"/>
      <c r="W355" s="8" t="s">
        <v>96</v>
      </c>
      <c r="X355" s="4">
        <f t="shared" si="26"/>
        <v>0.0168169601542417</v>
      </c>
      <c r="Y355" s="4">
        <f t="shared" si="27"/>
        <v>0.0127006979362101</v>
      </c>
      <c r="Z355" s="4">
        <f t="shared" si="29"/>
        <v>-0.029068220338983</v>
      </c>
      <c r="AA355" s="4">
        <f t="shared" si="28"/>
        <v>0.00732029391182644</v>
      </c>
    </row>
    <row r="356" s="4" customFormat="1" ht="15" customHeight="1" spans="1:27">
      <c r="A356" s="6" t="s">
        <v>95</v>
      </c>
      <c r="B356" s="1">
        <v>40</v>
      </c>
      <c r="C356" s="1">
        <v>1.2176</v>
      </c>
      <c r="D356" s="1">
        <v>12.64</v>
      </c>
      <c r="E356" s="1">
        <v>0.3528</v>
      </c>
      <c r="F356" s="1">
        <v>1.675</v>
      </c>
      <c r="G356" s="1">
        <f t="shared" si="25"/>
        <v>0.0625926184689939</v>
      </c>
      <c r="W356" s="8"/>
      <c r="X356" s="4">
        <f t="shared" si="26"/>
        <v>0.0630291709511569</v>
      </c>
      <c r="Y356" s="4">
        <f t="shared" si="27"/>
        <v>0.0407679399624765</v>
      </c>
      <c r="Z356" s="4">
        <f t="shared" si="29"/>
        <v>-0.0443476694915254</v>
      </c>
      <c r="AA356" s="4">
        <f t="shared" si="28"/>
        <v>0.00314317704688593</v>
      </c>
    </row>
    <row r="357" s="4" customFormat="1" ht="15" customHeight="1" spans="1:27">
      <c r="A357" s="6" t="s">
        <v>95</v>
      </c>
      <c r="B357" s="1">
        <v>40</v>
      </c>
      <c r="C357" s="1">
        <v>1.2237</v>
      </c>
      <c r="D357" s="1">
        <v>13.027</v>
      </c>
      <c r="E357" s="1">
        <v>0.4048</v>
      </c>
      <c r="F357" s="1">
        <v>1.664</v>
      </c>
      <c r="G357" s="1">
        <f t="shared" si="25"/>
        <v>0.0959877284957761</v>
      </c>
      <c r="W357" s="8"/>
      <c r="X357" s="4">
        <f t="shared" si="26"/>
        <v>0.0676962982005142</v>
      </c>
      <c r="Y357" s="4">
        <f t="shared" si="27"/>
        <v>0.0302833621013133</v>
      </c>
      <c r="Z357" s="4">
        <f t="shared" si="29"/>
        <v>-0.00559004237288136</v>
      </c>
      <c r="AA357" s="4">
        <f t="shared" si="28"/>
        <v>0.00359811056682995</v>
      </c>
    </row>
    <row r="358" s="4" customFormat="1" ht="15" customHeight="1" spans="1:27">
      <c r="A358" s="6" t="s">
        <v>95</v>
      </c>
      <c r="B358" s="1">
        <v>40</v>
      </c>
      <c r="C358" s="1">
        <v>1.1181</v>
      </c>
      <c r="D358" s="1">
        <v>14.883</v>
      </c>
      <c r="E358" s="1">
        <v>0.3844</v>
      </c>
      <c r="F358" s="1">
        <v>1.916</v>
      </c>
      <c r="G358" s="1">
        <f t="shared" si="25"/>
        <v>-0.0607167853779275</v>
      </c>
      <c r="W358" s="8"/>
      <c r="X358" s="4">
        <f t="shared" si="26"/>
        <v>-0.0130985604113109</v>
      </c>
      <c r="Y358" s="4">
        <f t="shared" si="27"/>
        <v>-0.0199992645403377</v>
      </c>
      <c r="Z358" s="4">
        <f t="shared" si="29"/>
        <v>-0.0207949576271186</v>
      </c>
      <c r="AA358" s="4">
        <f t="shared" si="28"/>
        <v>-0.00682400279916025</v>
      </c>
    </row>
    <row r="359" s="4" customFormat="1" ht="15" customHeight="1" spans="1:27">
      <c r="A359" s="6" t="s">
        <v>95</v>
      </c>
      <c r="B359" s="1">
        <v>40</v>
      </c>
      <c r="C359" s="1">
        <v>1.2121</v>
      </c>
      <c r="D359" s="1">
        <v>12.713</v>
      </c>
      <c r="E359" s="1">
        <v>0.3981</v>
      </c>
      <c r="F359" s="1">
        <v>1.713</v>
      </c>
      <c r="G359" s="1">
        <f t="shared" si="25"/>
        <v>0.0885991092556367</v>
      </c>
      <c r="W359" s="8"/>
      <c r="X359" s="4">
        <f t="shared" si="26"/>
        <v>0.0588211053984576</v>
      </c>
      <c r="Y359" s="4">
        <f t="shared" si="27"/>
        <v>0.0387902288930582</v>
      </c>
      <c r="Z359" s="4">
        <f t="shared" si="29"/>
        <v>-0.010583813559322</v>
      </c>
      <c r="AA359" s="4">
        <f t="shared" si="28"/>
        <v>0.00157158852344296</v>
      </c>
    </row>
    <row r="360" s="4" customFormat="1" ht="15" customHeight="1" spans="1:27">
      <c r="A360" s="6" t="s">
        <v>95</v>
      </c>
      <c r="B360" s="1">
        <v>40</v>
      </c>
      <c r="C360" s="1">
        <v>1.1975</v>
      </c>
      <c r="D360" s="1">
        <v>13.668</v>
      </c>
      <c r="E360" s="1">
        <v>0.3723</v>
      </c>
      <c r="F360" s="1">
        <v>1.572</v>
      </c>
      <c r="G360" s="1">
        <f t="shared" si="25"/>
        <v>0.03815748728422</v>
      </c>
      <c r="W360" s="8"/>
      <c r="X360" s="4">
        <f t="shared" si="26"/>
        <v>0.0476506041131106</v>
      </c>
      <c r="Y360" s="4">
        <f t="shared" si="27"/>
        <v>0.0129174333958724</v>
      </c>
      <c r="Z360" s="4">
        <f t="shared" si="29"/>
        <v>-0.0298135593220339</v>
      </c>
      <c r="AA360" s="4">
        <f t="shared" si="28"/>
        <v>0.00740300909727081</v>
      </c>
    </row>
    <row r="361" s="4" customFormat="1" ht="15" customHeight="1" spans="1:27">
      <c r="A361" s="6" t="s">
        <v>97</v>
      </c>
      <c r="B361" s="1">
        <v>41</v>
      </c>
      <c r="C361" s="1">
        <v>1.2122</v>
      </c>
      <c r="D361" s="1">
        <v>14.565</v>
      </c>
      <c r="E361" s="1">
        <v>0.3714</v>
      </c>
      <c r="F361" s="1">
        <v>1.799</v>
      </c>
      <c r="G361" s="1">
        <f t="shared" si="25"/>
        <v>0.0150440568050278</v>
      </c>
      <c r="W361" s="8"/>
      <c r="X361" s="4">
        <f t="shared" si="26"/>
        <v>0.058897615681234</v>
      </c>
      <c r="Y361" s="4">
        <f t="shared" si="27"/>
        <v>-0.0113840300187617</v>
      </c>
      <c r="Z361" s="4">
        <f t="shared" si="29"/>
        <v>-0.0304843644067797</v>
      </c>
      <c r="AA361" s="4">
        <f t="shared" si="28"/>
        <v>-0.0019851644506648</v>
      </c>
    </row>
    <row r="362" s="4" customFormat="1" ht="15" customHeight="1" spans="1:27">
      <c r="A362" s="6" t="s">
        <v>97</v>
      </c>
      <c r="B362" s="1">
        <v>41</v>
      </c>
      <c r="C362" s="1">
        <v>1.2057</v>
      </c>
      <c r="D362" s="1">
        <v>14.16</v>
      </c>
      <c r="E362" s="1">
        <v>0.4654</v>
      </c>
      <c r="F362" s="1">
        <v>1.807</v>
      </c>
      <c r="G362" s="1">
        <f t="shared" si="25"/>
        <v>0.0907741247349706</v>
      </c>
      <c r="W362" s="8"/>
      <c r="X362" s="4">
        <f t="shared" si="26"/>
        <v>0.0539244473007713</v>
      </c>
      <c r="Y362" s="4">
        <f t="shared" si="27"/>
        <v>-0.000411797373358352</v>
      </c>
      <c r="Z362" s="4">
        <f t="shared" si="29"/>
        <v>0.0395775</v>
      </c>
      <c r="AA362" s="4">
        <f t="shared" si="28"/>
        <v>-0.00231602519244227</v>
      </c>
    </row>
    <row r="363" s="4" customFormat="1" ht="15" customHeight="1" spans="1:27">
      <c r="A363" s="6" t="s">
        <v>97</v>
      </c>
      <c r="B363" s="1">
        <v>41</v>
      </c>
      <c r="C363" s="1">
        <v>1.2131</v>
      </c>
      <c r="D363" s="1">
        <v>13.927</v>
      </c>
      <c r="E363" s="1">
        <v>0.386</v>
      </c>
      <c r="F363" s="1">
        <v>1.753</v>
      </c>
      <c r="G363" s="1">
        <f t="shared" si="25"/>
        <v>0.0458017006758454</v>
      </c>
      <c r="W363" s="8"/>
      <c r="X363" s="4">
        <f t="shared" si="26"/>
        <v>0.0595862082262212</v>
      </c>
      <c r="Y363" s="4">
        <f t="shared" si="27"/>
        <v>0.00590062288930583</v>
      </c>
      <c r="Z363" s="4">
        <f t="shared" si="29"/>
        <v>-0.0196024152542373</v>
      </c>
      <c r="AA363" s="4">
        <f t="shared" si="28"/>
        <v>-8.27151854443668e-5</v>
      </c>
    </row>
    <row r="364" s="4" customFormat="1" ht="15" customHeight="1" spans="1:27">
      <c r="A364" s="6" t="s">
        <v>97</v>
      </c>
      <c r="B364" s="1">
        <v>41</v>
      </c>
      <c r="C364" s="1">
        <v>1.1681</v>
      </c>
      <c r="D364" s="1">
        <v>15.172</v>
      </c>
      <c r="E364" s="1">
        <v>0.4516</v>
      </c>
      <c r="F364" s="1">
        <v>1.96</v>
      </c>
      <c r="G364" s="1">
        <f t="shared" si="25"/>
        <v>0.0179758331111878</v>
      </c>
      <c r="H364" s="7"/>
      <c r="W364" s="8" t="s">
        <v>98</v>
      </c>
      <c r="X364" s="4">
        <f t="shared" si="26"/>
        <v>0.0251565809768638</v>
      </c>
      <c r="Y364" s="4">
        <f t="shared" si="27"/>
        <v>-0.0278288330206379</v>
      </c>
      <c r="Z364" s="4">
        <f t="shared" si="29"/>
        <v>0.0292918220338983</v>
      </c>
      <c r="AA364" s="4">
        <f t="shared" si="28"/>
        <v>-0.00864373687893632</v>
      </c>
    </row>
    <row r="365" s="4" customFormat="1" ht="15" customHeight="1" spans="1:27">
      <c r="A365" s="6" t="s">
        <v>97</v>
      </c>
      <c r="B365" s="1">
        <v>41</v>
      </c>
      <c r="C365" s="1">
        <v>1.2756</v>
      </c>
      <c r="D365" s="1">
        <v>13.388</v>
      </c>
      <c r="E365" s="1">
        <v>0.3587</v>
      </c>
      <c r="F365" s="1">
        <v>1.571</v>
      </c>
      <c r="G365" s="1">
        <f t="shared" si="25"/>
        <v>0.0954025066439598</v>
      </c>
      <c r="W365" s="8"/>
      <c r="X365" s="4">
        <f t="shared" si="26"/>
        <v>0.10740513496144</v>
      </c>
      <c r="Y365" s="4">
        <f t="shared" si="27"/>
        <v>0.0205031744840525</v>
      </c>
      <c r="Z365" s="4">
        <f t="shared" si="29"/>
        <v>-0.0399501694915254</v>
      </c>
      <c r="AA365" s="4">
        <f t="shared" si="28"/>
        <v>0.007444366689993</v>
      </c>
    </row>
    <row r="366" s="4" customFormat="1" ht="15" customHeight="1" spans="1:27">
      <c r="A366" s="6" t="s">
        <v>97</v>
      </c>
      <c r="B366" s="1">
        <v>41</v>
      </c>
      <c r="C366" s="1">
        <v>1.194</v>
      </c>
      <c r="D366" s="1">
        <v>15.15</v>
      </c>
      <c r="E366" s="1">
        <v>0.3616</v>
      </c>
      <c r="F366" s="1">
        <v>1.881</v>
      </c>
      <c r="G366" s="1">
        <f t="shared" si="25"/>
        <v>-0.0254252397851901</v>
      </c>
      <c r="W366" s="8"/>
      <c r="X366" s="4">
        <f t="shared" si="26"/>
        <v>0.0449727442159383</v>
      </c>
      <c r="Y366" s="4">
        <f t="shared" si="27"/>
        <v>-0.0272328105065666</v>
      </c>
      <c r="Z366" s="4">
        <f t="shared" si="29"/>
        <v>-0.037788686440678</v>
      </c>
      <c r="AA366" s="4">
        <f t="shared" si="28"/>
        <v>-0.00537648705388384</v>
      </c>
    </row>
    <row r="367" s="4" customFormat="1" ht="15" customHeight="1" spans="1:27">
      <c r="A367" s="6" t="s">
        <v>97</v>
      </c>
      <c r="B367" s="1">
        <v>41</v>
      </c>
      <c r="C367" s="1">
        <v>1.1965</v>
      </c>
      <c r="D367" s="1">
        <v>14.56</v>
      </c>
      <c r="E367" s="1">
        <v>0.3956</v>
      </c>
      <c r="F367" s="1">
        <v>2.011</v>
      </c>
      <c r="G367" s="1">
        <f t="shared" si="25"/>
        <v>0.0124367958041574</v>
      </c>
      <c r="W367" s="8"/>
      <c r="X367" s="4">
        <f t="shared" si="26"/>
        <v>0.046885501285347</v>
      </c>
      <c r="Y367" s="4">
        <f t="shared" si="27"/>
        <v>-0.0112485703564728</v>
      </c>
      <c r="Z367" s="4">
        <f t="shared" si="29"/>
        <v>-0.0124471610169491</v>
      </c>
      <c r="AA367" s="4">
        <f t="shared" si="28"/>
        <v>-0.0107529741077677</v>
      </c>
    </row>
    <row r="368" s="4" customFormat="1" ht="15" customHeight="1" spans="1:27">
      <c r="A368" s="6" t="s">
        <v>97</v>
      </c>
      <c r="B368" s="1">
        <v>41</v>
      </c>
      <c r="C368" s="1">
        <v>1.2102</v>
      </c>
      <c r="D368" s="1">
        <v>14.526</v>
      </c>
      <c r="E368" s="1">
        <v>0.4565</v>
      </c>
      <c r="F368" s="1">
        <v>1.757</v>
      </c>
      <c r="G368" s="1">
        <f t="shared" si="25"/>
        <v>0.0797358028673133</v>
      </c>
      <c r="W368" s="8"/>
      <c r="X368" s="4">
        <f t="shared" si="26"/>
        <v>0.057367410025707</v>
      </c>
      <c r="Y368" s="4">
        <f t="shared" si="27"/>
        <v>-0.0103274446529081</v>
      </c>
      <c r="Z368" s="4">
        <f t="shared" si="29"/>
        <v>0.0329439830508475</v>
      </c>
      <c r="AA368" s="4">
        <f t="shared" si="28"/>
        <v>-0.0002481455563331</v>
      </c>
    </row>
    <row r="369" s="4" customFormat="1" ht="15" customHeight="1" spans="1:27">
      <c r="A369" s="6" t="s">
        <v>97</v>
      </c>
      <c r="B369" s="1">
        <v>41</v>
      </c>
      <c r="C369" s="1">
        <v>1.2131</v>
      </c>
      <c r="D369" s="1">
        <v>14.011</v>
      </c>
      <c r="E369" s="1">
        <v>0.3966</v>
      </c>
      <c r="F369" s="1">
        <v>1.828</v>
      </c>
      <c r="G369" s="1">
        <f t="shared" si="25"/>
        <v>0.0483247521155666</v>
      </c>
      <c r="W369" s="8"/>
      <c r="X369" s="4">
        <f t="shared" si="26"/>
        <v>0.0595862082262212</v>
      </c>
      <c r="Y369" s="4">
        <f t="shared" si="27"/>
        <v>0.0036249005628518</v>
      </c>
      <c r="Z369" s="4">
        <f t="shared" si="29"/>
        <v>-0.0117018220338983</v>
      </c>
      <c r="AA369" s="4">
        <f t="shared" si="28"/>
        <v>-0.00318453463960812</v>
      </c>
    </row>
    <row r="370" s="4" customFormat="1" ht="15" customHeight="1" spans="1:27">
      <c r="A370" s="6" t="s">
        <v>99</v>
      </c>
      <c r="B370" s="1">
        <v>42</v>
      </c>
      <c r="C370" s="1">
        <v>1.2219</v>
      </c>
      <c r="D370" s="1">
        <v>12.623</v>
      </c>
      <c r="E370" s="1">
        <v>0.4988</v>
      </c>
      <c r="F370" s="1">
        <v>1.511</v>
      </c>
      <c r="G370" s="1">
        <f t="shared" si="25"/>
        <v>0.181945260212021</v>
      </c>
      <c r="W370" s="8"/>
      <c r="X370" s="4">
        <f t="shared" si="26"/>
        <v>0.0663191131105399</v>
      </c>
      <c r="Y370" s="4">
        <f t="shared" si="27"/>
        <v>0.0412285028142589</v>
      </c>
      <c r="Z370" s="4">
        <f t="shared" si="29"/>
        <v>0.0644718220338983</v>
      </c>
      <c r="AA370" s="4">
        <f t="shared" si="28"/>
        <v>0.009925822253324</v>
      </c>
    </row>
    <row r="371" s="4" customFormat="1" ht="15" customHeight="1" spans="1:27">
      <c r="A371" s="6" t="s">
        <v>99</v>
      </c>
      <c r="B371" s="1">
        <v>42</v>
      </c>
      <c r="C371" s="1">
        <v>1.1985</v>
      </c>
      <c r="D371" s="1">
        <v>14.45</v>
      </c>
      <c r="E371" s="1">
        <v>0.3783</v>
      </c>
      <c r="F371" s="1">
        <v>1.897</v>
      </c>
      <c r="G371" s="1">
        <f t="shared" si="25"/>
        <v>0.00876751519359016</v>
      </c>
      <c r="W371" s="8"/>
      <c r="X371" s="4">
        <f t="shared" si="26"/>
        <v>0.048415706940874</v>
      </c>
      <c r="Y371" s="4">
        <f t="shared" si="27"/>
        <v>-0.0082684577861163</v>
      </c>
      <c r="Z371" s="4">
        <f t="shared" si="29"/>
        <v>-0.0253415254237288</v>
      </c>
      <c r="AA371" s="4">
        <f t="shared" si="28"/>
        <v>-0.00603820853743877</v>
      </c>
    </row>
    <row r="372" s="4" customFormat="1" ht="15" customHeight="1" spans="1:27">
      <c r="A372" s="6" t="s">
        <v>99</v>
      </c>
      <c r="B372" s="1">
        <v>42</v>
      </c>
      <c r="C372" s="1">
        <v>1.3034</v>
      </c>
      <c r="D372" s="1">
        <v>13.556</v>
      </c>
      <c r="E372" s="1">
        <v>0.4563</v>
      </c>
      <c r="F372" s="1">
        <v>1.656</v>
      </c>
      <c r="G372" s="1">
        <f t="shared" si="25"/>
        <v>0.181350609967254</v>
      </c>
      <c r="W372" s="8"/>
      <c r="X372" s="4">
        <f t="shared" si="26"/>
        <v>0.128674993573265</v>
      </c>
      <c r="Y372" s="4">
        <f t="shared" si="27"/>
        <v>0.0159517298311445</v>
      </c>
      <c r="Z372" s="4">
        <f t="shared" si="29"/>
        <v>0.0327949152542373</v>
      </c>
      <c r="AA372" s="4">
        <f t="shared" si="28"/>
        <v>0.00392897130860742</v>
      </c>
    </row>
    <row r="373" s="4" customFormat="1" ht="15" customHeight="1" spans="1:27">
      <c r="A373" s="6" t="s">
        <v>99</v>
      </c>
      <c r="B373" s="1">
        <v>42</v>
      </c>
      <c r="C373" s="1">
        <v>1.196</v>
      </c>
      <c r="D373" s="1">
        <v>14.803</v>
      </c>
      <c r="E373" s="1">
        <v>0.4324</v>
      </c>
      <c r="F373" s="1">
        <v>1.924</v>
      </c>
      <c r="G373" s="1">
        <f t="shared" si="25"/>
        <v>0.0364974899461348</v>
      </c>
      <c r="W373" s="8"/>
      <c r="X373" s="4">
        <f t="shared" si="26"/>
        <v>0.0465029498714653</v>
      </c>
      <c r="Y373" s="4">
        <f t="shared" si="27"/>
        <v>-0.0178319099437148</v>
      </c>
      <c r="Z373" s="4">
        <f t="shared" si="29"/>
        <v>0.014981313559322</v>
      </c>
      <c r="AA373" s="4">
        <f t="shared" si="28"/>
        <v>-0.00715486354093772</v>
      </c>
    </row>
    <row r="374" s="4" customFormat="1" ht="15" customHeight="1" spans="1:27">
      <c r="A374" s="6" t="s">
        <v>99</v>
      </c>
      <c r="B374" s="1">
        <v>42</v>
      </c>
      <c r="C374" s="1">
        <v>1.1548</v>
      </c>
      <c r="D374" s="1">
        <v>15.248</v>
      </c>
      <c r="E374" s="1">
        <v>0.4509</v>
      </c>
      <c r="F374" s="1">
        <v>1.96</v>
      </c>
      <c r="G374" s="1">
        <f t="shared" si="25"/>
        <v>0.00521924134700616</v>
      </c>
      <c r="H374" s="7"/>
      <c r="W374" s="8" t="s">
        <v>100</v>
      </c>
      <c r="X374" s="4">
        <f t="shared" si="26"/>
        <v>0.0149807133676094</v>
      </c>
      <c r="Y374" s="4">
        <f t="shared" si="27"/>
        <v>-0.0298878198874296</v>
      </c>
      <c r="Z374" s="4">
        <f t="shared" si="29"/>
        <v>0.0287700847457627</v>
      </c>
      <c r="AA374" s="4">
        <f t="shared" si="28"/>
        <v>-0.00864373687893632</v>
      </c>
    </row>
    <row r="375" s="4" customFormat="1" ht="15" customHeight="1" spans="1:27">
      <c r="A375" s="6" t="s">
        <v>99</v>
      </c>
      <c r="B375" s="1">
        <v>42</v>
      </c>
      <c r="C375" s="1">
        <v>1.213</v>
      </c>
      <c r="D375" s="1">
        <v>13.058</v>
      </c>
      <c r="E375" s="1">
        <v>0.4004</v>
      </c>
      <c r="F375" s="1">
        <v>1.672</v>
      </c>
      <c r="G375" s="1">
        <f t="shared" si="25"/>
        <v>0.0833509260653142</v>
      </c>
      <c r="W375" s="8"/>
      <c r="X375" s="4">
        <f t="shared" si="26"/>
        <v>0.0595096979434449</v>
      </c>
      <c r="Y375" s="4">
        <f t="shared" si="27"/>
        <v>0.029443512195122</v>
      </c>
      <c r="Z375" s="4">
        <f t="shared" si="29"/>
        <v>-0.0088695338983051</v>
      </c>
      <c r="AA375" s="4">
        <f t="shared" si="28"/>
        <v>0.00326724982505248</v>
      </c>
    </row>
    <row r="376" s="4" customFormat="1" ht="15" customHeight="1" spans="1:27">
      <c r="A376" s="6" t="s">
        <v>99</v>
      </c>
      <c r="B376" s="1">
        <v>42</v>
      </c>
      <c r="C376" s="1">
        <v>1.1747</v>
      </c>
      <c r="D376" s="1">
        <v>15.837</v>
      </c>
      <c r="E376" s="1">
        <v>0.4357</v>
      </c>
      <c r="F376" s="1">
        <v>1.915</v>
      </c>
      <c r="G376" s="1">
        <f t="shared" si="25"/>
        <v>-0.00498042146801095</v>
      </c>
      <c r="W376" s="8"/>
      <c r="X376" s="4">
        <f t="shared" si="26"/>
        <v>0.030206259640103</v>
      </c>
      <c r="Y376" s="4">
        <f t="shared" si="27"/>
        <v>-0.0458449681050657</v>
      </c>
      <c r="Z376" s="4">
        <f t="shared" si="29"/>
        <v>0.0174409322033898</v>
      </c>
      <c r="AA376" s="4">
        <f t="shared" si="28"/>
        <v>-0.00678264520643807</v>
      </c>
    </row>
    <row r="377" s="4" customFormat="1" ht="15" customHeight="1" spans="1:27">
      <c r="A377" s="6" t="s">
        <v>99</v>
      </c>
      <c r="B377" s="1">
        <v>42</v>
      </c>
      <c r="C377" s="1">
        <v>1.1781</v>
      </c>
      <c r="D377" s="1">
        <v>16.465</v>
      </c>
      <c r="E377" s="1">
        <v>0.4617</v>
      </c>
      <c r="F377" s="1">
        <v>2.024</v>
      </c>
      <c r="G377" s="1">
        <f t="shared" si="25"/>
        <v>-0.0045219694845008</v>
      </c>
      <c r="W377" s="8"/>
      <c r="X377" s="4">
        <f t="shared" si="26"/>
        <v>0.0328076092544987</v>
      </c>
      <c r="Y377" s="4">
        <f t="shared" si="27"/>
        <v>-0.0628587016885553</v>
      </c>
      <c r="Z377" s="4">
        <f t="shared" si="29"/>
        <v>0.0368197457627119</v>
      </c>
      <c r="AA377" s="4">
        <f t="shared" si="28"/>
        <v>-0.0112906228131561</v>
      </c>
    </row>
    <row r="378" s="4" customFormat="1" ht="15" customHeight="1" spans="1:27">
      <c r="A378" s="6" t="s">
        <v>99</v>
      </c>
      <c r="B378" s="1">
        <v>42</v>
      </c>
      <c r="C378" s="1">
        <v>1.2956</v>
      </c>
      <c r="D378" s="1">
        <v>13.323</v>
      </c>
      <c r="E378" s="1">
        <v>0.4153</v>
      </c>
      <c r="F378" s="1">
        <v>1.633</v>
      </c>
      <c r="G378" s="1">
        <f t="shared" si="25"/>
        <v>0.152087554500888</v>
      </c>
      <c r="W378" s="8"/>
      <c r="X378" s="4">
        <f t="shared" si="26"/>
        <v>0.12270719151671</v>
      </c>
      <c r="Y378" s="4">
        <f t="shared" si="27"/>
        <v>0.0222641500938086</v>
      </c>
      <c r="Z378" s="4">
        <f t="shared" si="29"/>
        <v>0.00223601694915254</v>
      </c>
      <c r="AA378" s="4">
        <f t="shared" si="28"/>
        <v>0.00488019594121763</v>
      </c>
    </row>
    <row r="379" s="4" customFormat="1" ht="15" customHeight="1" spans="1:27">
      <c r="A379" s="6" t="s">
        <v>101</v>
      </c>
      <c r="B379" s="1">
        <v>43</v>
      </c>
      <c r="C379" s="1">
        <v>1.1081</v>
      </c>
      <c r="D379" s="1">
        <v>15.335</v>
      </c>
      <c r="E379" s="1">
        <v>0.3505</v>
      </c>
      <c r="F379" s="1">
        <v>1.908</v>
      </c>
      <c r="G379" s="1">
        <f t="shared" si="25"/>
        <v>-0.105549497910128</v>
      </c>
      <c r="W379" s="8"/>
      <c r="X379" s="4">
        <f t="shared" si="26"/>
        <v>-0.0207495886889459</v>
      </c>
      <c r="Y379" s="4">
        <f t="shared" si="27"/>
        <v>-0.0322448180112571</v>
      </c>
      <c r="Z379" s="4">
        <f t="shared" si="29"/>
        <v>-0.0460619491525424</v>
      </c>
      <c r="AA379" s="4">
        <f t="shared" si="28"/>
        <v>-0.00649314205738279</v>
      </c>
    </row>
    <row r="380" s="4" customFormat="1" ht="15" customHeight="1" spans="1:27">
      <c r="A380" s="6" t="s">
        <v>101</v>
      </c>
      <c r="B380" s="1">
        <v>43</v>
      </c>
      <c r="C380" s="1">
        <v>1.0959</v>
      </c>
      <c r="D380" s="1">
        <v>17.728</v>
      </c>
      <c r="E380" s="1">
        <v>0.315</v>
      </c>
      <c r="F380" s="1">
        <v>2.24</v>
      </c>
      <c r="G380" s="1">
        <f t="shared" si="25"/>
        <v>-0.219905001462395</v>
      </c>
      <c r="W380" s="8"/>
      <c r="X380" s="4">
        <f t="shared" si="26"/>
        <v>-0.0300838431876605</v>
      </c>
      <c r="Y380" s="4">
        <f t="shared" si="27"/>
        <v>-0.0970758123827393</v>
      </c>
      <c r="Z380" s="4">
        <f t="shared" si="29"/>
        <v>-0.0725214830508475</v>
      </c>
      <c r="AA380" s="4">
        <f t="shared" si="28"/>
        <v>-0.0202238628411477</v>
      </c>
    </row>
    <row r="381" s="4" customFormat="1" ht="15" customHeight="1" spans="1:27">
      <c r="A381" s="6" t="s">
        <v>101</v>
      </c>
      <c r="B381" s="1">
        <v>43</v>
      </c>
      <c r="C381" s="1">
        <v>1.1516</v>
      </c>
      <c r="D381" s="1">
        <v>16.574</v>
      </c>
      <c r="E381" s="1">
        <v>0.3519</v>
      </c>
      <c r="F381" s="1">
        <v>2.107</v>
      </c>
      <c r="G381" s="1">
        <f t="shared" si="25"/>
        <v>-0.113021115593056</v>
      </c>
      <c r="W381" s="8"/>
      <c r="X381" s="4">
        <f t="shared" si="26"/>
        <v>0.0125323843187661</v>
      </c>
      <c r="Y381" s="4">
        <f t="shared" si="27"/>
        <v>-0.0658117223264541</v>
      </c>
      <c r="Z381" s="4">
        <f t="shared" si="29"/>
        <v>-0.0450184745762712</v>
      </c>
      <c r="AA381" s="4">
        <f t="shared" si="28"/>
        <v>-0.0147233030090973</v>
      </c>
    </row>
    <row r="382" s="4" customFormat="1" ht="15" customHeight="1" spans="1:27">
      <c r="A382" s="6" t="s">
        <v>101</v>
      </c>
      <c r="B382" s="1">
        <v>43</v>
      </c>
      <c r="C382" s="1">
        <v>1.1355</v>
      </c>
      <c r="D382" s="1">
        <v>14.856</v>
      </c>
      <c r="E382" s="1">
        <v>0.3831</v>
      </c>
      <c r="F382" s="1">
        <v>1.831</v>
      </c>
      <c r="G382" s="1">
        <f t="shared" si="25"/>
        <v>-0.0441260592950631</v>
      </c>
      <c r="W382" s="8"/>
      <c r="X382" s="4">
        <f t="shared" si="26"/>
        <v>0.000214228791773823</v>
      </c>
      <c r="Y382" s="4">
        <f t="shared" si="27"/>
        <v>-0.0192677823639775</v>
      </c>
      <c r="Z382" s="4">
        <f t="shared" si="29"/>
        <v>-0.0217638983050847</v>
      </c>
      <c r="AA382" s="4">
        <f t="shared" si="28"/>
        <v>-0.00330860741777467</v>
      </c>
    </row>
    <row r="383" s="4" customFormat="1" ht="15" customHeight="1" spans="1:27">
      <c r="A383" s="6" t="s">
        <v>101</v>
      </c>
      <c r="B383" s="1">
        <v>43</v>
      </c>
      <c r="C383" s="1">
        <v>1.1721</v>
      </c>
      <c r="D383" s="1">
        <v>14.727</v>
      </c>
      <c r="E383" s="1">
        <v>0.35</v>
      </c>
      <c r="F383" s="1">
        <v>1.766</v>
      </c>
      <c r="G383" s="1">
        <f t="shared" si="25"/>
        <v>-0.0346109133239059</v>
      </c>
      <c r="W383" s="8"/>
      <c r="X383" s="4">
        <f t="shared" si="26"/>
        <v>0.0282169922879178</v>
      </c>
      <c r="Y383" s="4">
        <f t="shared" si="27"/>
        <v>-0.0157729230769231</v>
      </c>
      <c r="Z383" s="4">
        <f t="shared" si="29"/>
        <v>-0.0464346186440678</v>
      </c>
      <c r="AA383" s="4">
        <f t="shared" si="28"/>
        <v>-0.000620363890832755</v>
      </c>
    </row>
    <row r="384" s="4" customFormat="1" ht="15" customHeight="1" spans="1:27">
      <c r="A384" s="6" t="s">
        <v>101</v>
      </c>
      <c r="B384" s="1">
        <v>43</v>
      </c>
      <c r="C384" s="1">
        <v>1.1498</v>
      </c>
      <c r="D384" s="1">
        <v>14.201</v>
      </c>
      <c r="E384" s="1">
        <v>0.3503</v>
      </c>
      <c r="F384" s="1">
        <v>1.901</v>
      </c>
      <c r="G384" s="1">
        <f t="shared" si="25"/>
        <v>-0.0427820232328159</v>
      </c>
      <c r="H384" s="7"/>
      <c r="W384" s="8" t="s">
        <v>102</v>
      </c>
      <c r="X384" s="4">
        <f t="shared" si="26"/>
        <v>0.0111551992287918</v>
      </c>
      <c r="Y384" s="4">
        <f t="shared" si="27"/>
        <v>-0.00152256660412759</v>
      </c>
      <c r="Z384" s="4">
        <f t="shared" si="29"/>
        <v>-0.0462110169491525</v>
      </c>
      <c r="AA384" s="4">
        <f t="shared" si="28"/>
        <v>-0.00620363890832751</v>
      </c>
    </row>
    <row r="385" s="4" customFormat="1" ht="15" customHeight="1" spans="1:27">
      <c r="A385" s="6" t="s">
        <v>101</v>
      </c>
      <c r="B385" s="1">
        <v>43</v>
      </c>
      <c r="C385" s="1">
        <v>1.1475</v>
      </c>
      <c r="D385" s="1">
        <v>15.244</v>
      </c>
      <c r="E385" s="1">
        <v>0.3264</v>
      </c>
      <c r="F385" s="1">
        <v>2.004</v>
      </c>
      <c r="G385" s="1">
        <f t="shared" si="25"/>
        <v>-0.0948720790354429</v>
      </c>
      <c r="X385" s="4">
        <f t="shared" si="26"/>
        <v>0.00939546272493578</v>
      </c>
      <c r="Y385" s="4">
        <f t="shared" si="27"/>
        <v>-0.0297794521575985</v>
      </c>
      <c r="Z385" s="4">
        <f t="shared" si="29"/>
        <v>-0.0640246186440678</v>
      </c>
      <c r="AA385" s="4">
        <f t="shared" si="28"/>
        <v>-0.0104634709587124</v>
      </c>
    </row>
    <row r="386" s="4" customFormat="1" ht="15" customHeight="1" spans="1:27">
      <c r="A386" s="6" t="s">
        <v>101</v>
      </c>
      <c r="B386" s="1">
        <v>43</v>
      </c>
      <c r="C386" s="1">
        <v>1.1684</v>
      </c>
      <c r="D386" s="1">
        <v>15.431</v>
      </c>
      <c r="E386" s="1">
        <v>0.408</v>
      </c>
      <c r="F386" s="1">
        <v>1.908</v>
      </c>
      <c r="G386" s="1">
        <f t="shared" ref="G386:G449" si="30">SUM(X386,Y386,Z386,AA386)</f>
        <v>-0.019157631386513</v>
      </c>
      <c r="W386" s="8"/>
      <c r="X386" s="4">
        <f t="shared" ref="X386:X449" si="31">(C386-S$2)/N$2*I$2</f>
        <v>0.025386111825193</v>
      </c>
      <c r="Y386" s="4">
        <f t="shared" ref="Y386:Y449" si="32">(T$2-D386)/O$2*J$2</f>
        <v>-0.0348456435272045</v>
      </c>
      <c r="Z386" s="4">
        <f t="shared" si="29"/>
        <v>-0.00320495762711866</v>
      </c>
      <c r="AA386" s="4">
        <f t="shared" ref="AA386:AA449" si="33">(V$2-F386)/Q$2*L$2</f>
        <v>-0.00649314205738279</v>
      </c>
    </row>
    <row r="387" s="4" customFormat="1" ht="15" customHeight="1" spans="1:27">
      <c r="A387" s="6" t="s">
        <v>101</v>
      </c>
      <c r="B387" s="1">
        <v>43</v>
      </c>
      <c r="C387" s="1">
        <v>1.1256</v>
      </c>
      <c r="D387" s="1">
        <v>17.826</v>
      </c>
      <c r="E387" s="1">
        <v>0.3519</v>
      </c>
      <c r="F387" s="1">
        <v>2.008</v>
      </c>
      <c r="G387" s="1">
        <f t="shared" si="30"/>
        <v>-0.162738486872559</v>
      </c>
      <c r="W387" s="8"/>
      <c r="X387" s="4">
        <f t="shared" si="31"/>
        <v>-0.0073602892030848</v>
      </c>
      <c r="Y387" s="4">
        <f t="shared" si="32"/>
        <v>-0.0997308217636023</v>
      </c>
      <c r="Z387" s="4">
        <f t="shared" si="29"/>
        <v>-0.0450184745762712</v>
      </c>
      <c r="AA387" s="4">
        <f t="shared" si="33"/>
        <v>-0.0106289013296011</v>
      </c>
    </row>
    <row r="388" s="4" customFormat="1" ht="15" customHeight="1" spans="1:27">
      <c r="A388" s="6" t="s">
        <v>103</v>
      </c>
      <c r="B388" s="1">
        <v>44</v>
      </c>
      <c r="C388" s="1">
        <v>1.3048</v>
      </c>
      <c r="D388" s="1">
        <v>15.288</v>
      </c>
      <c r="E388" s="1">
        <v>0.3673</v>
      </c>
      <c r="F388" s="1">
        <v>2.038</v>
      </c>
      <c r="G388" s="1">
        <f t="shared" si="30"/>
        <v>0.0533647569978379</v>
      </c>
      <c r="W388" s="8"/>
      <c r="X388" s="4">
        <f t="shared" si="31"/>
        <v>0.129746137532134</v>
      </c>
      <c r="Y388" s="4">
        <f t="shared" si="32"/>
        <v>-0.0309714971857411</v>
      </c>
      <c r="Z388" s="4">
        <f t="shared" si="29"/>
        <v>-0.0335402542372881</v>
      </c>
      <c r="AA388" s="4">
        <f t="shared" si="33"/>
        <v>-0.0118696291112666</v>
      </c>
    </row>
    <row r="389" s="4" customFormat="1" ht="15" customHeight="1" spans="1:27">
      <c r="A389" s="6" t="s">
        <v>103</v>
      </c>
      <c r="B389" s="1">
        <v>44</v>
      </c>
      <c r="C389" s="1">
        <v>1.2182</v>
      </c>
      <c r="D389" s="1">
        <v>14.561</v>
      </c>
      <c r="E389" s="1">
        <v>0.3846</v>
      </c>
      <c r="F389" s="1">
        <v>1.753</v>
      </c>
      <c r="G389" s="1">
        <f t="shared" si="30"/>
        <v>0.0314839653429315</v>
      </c>
      <c r="W389" s="8"/>
      <c r="X389" s="4">
        <f t="shared" si="31"/>
        <v>0.0634882326478149</v>
      </c>
      <c r="Y389" s="4">
        <f t="shared" si="32"/>
        <v>-0.0112756622889306</v>
      </c>
      <c r="Z389" s="4">
        <f t="shared" si="29"/>
        <v>-0.0206458898305085</v>
      </c>
      <c r="AA389" s="4">
        <f t="shared" si="33"/>
        <v>-8.27151854443668e-5</v>
      </c>
    </row>
    <row r="390" s="4" customFormat="1" ht="15" customHeight="1" spans="1:27">
      <c r="A390" s="6" t="s">
        <v>103</v>
      </c>
      <c r="B390" s="1">
        <v>44</v>
      </c>
      <c r="C390" s="1">
        <v>1.2369</v>
      </c>
      <c r="D390" s="1">
        <v>12.794</v>
      </c>
      <c r="E390" s="1">
        <v>0.4306</v>
      </c>
      <c r="F390" s="1">
        <v>1.563</v>
      </c>
      <c r="G390" s="1">
        <f t="shared" si="30"/>
        <v>0.135806368712571</v>
      </c>
      <c r="W390" s="8"/>
      <c r="X390" s="4">
        <f t="shared" si="31"/>
        <v>0.0777956555269924</v>
      </c>
      <c r="Y390" s="4">
        <f t="shared" si="32"/>
        <v>0.0365957823639775</v>
      </c>
      <c r="Z390" s="4">
        <f t="shared" si="29"/>
        <v>0.0136397033898305</v>
      </c>
      <c r="AA390" s="4">
        <f t="shared" si="33"/>
        <v>0.00777522743177047</v>
      </c>
    </row>
    <row r="391" s="4" customFormat="1" ht="15" customHeight="1" spans="1:27">
      <c r="A391" s="6" t="s">
        <v>103</v>
      </c>
      <c r="B391" s="1">
        <v>44</v>
      </c>
      <c r="C391" s="1">
        <v>1.2432</v>
      </c>
      <c r="D391" s="1">
        <v>13.103</v>
      </c>
      <c r="E391" s="1">
        <v>0.4564</v>
      </c>
      <c r="F391" s="1">
        <v>1.706</v>
      </c>
      <c r="G391" s="1">
        <f t="shared" si="30"/>
        <v>0.145570719401465</v>
      </c>
      <c r="W391" s="8"/>
      <c r="X391" s="4">
        <f t="shared" si="31"/>
        <v>0.0826158033419025</v>
      </c>
      <c r="Y391" s="4">
        <f t="shared" si="32"/>
        <v>0.0282243752345216</v>
      </c>
      <c r="Z391" s="4">
        <f t="shared" si="29"/>
        <v>0.0328694491525424</v>
      </c>
      <c r="AA391" s="4">
        <f t="shared" si="33"/>
        <v>0.00186109167249825</v>
      </c>
    </row>
    <row r="392" s="4" customFormat="1" ht="15" customHeight="1" spans="1:27">
      <c r="A392" s="6" t="s">
        <v>103</v>
      </c>
      <c r="B392" s="1">
        <v>44</v>
      </c>
      <c r="C392" s="1">
        <v>1.2617</v>
      </c>
      <c r="D392" s="1">
        <v>12.137</v>
      </c>
      <c r="E392" s="1">
        <v>0.415</v>
      </c>
      <c r="F392" s="1">
        <v>1.519</v>
      </c>
      <c r="G392" s="1">
        <f t="shared" si="30"/>
        <v>0.162772764410054</v>
      </c>
      <c r="W392" s="8"/>
      <c r="X392" s="4">
        <f t="shared" si="31"/>
        <v>0.0967702056555271</v>
      </c>
      <c r="Y392" s="4">
        <f t="shared" si="32"/>
        <v>0.054395181988743</v>
      </c>
      <c r="Z392" s="4">
        <f t="shared" si="29"/>
        <v>0.00201241525423727</v>
      </c>
      <c r="AA392" s="4">
        <f t="shared" si="33"/>
        <v>0.00959496151154654</v>
      </c>
    </row>
    <row r="393" s="4" customFormat="1" ht="15" customHeight="1" spans="1:27">
      <c r="A393" s="6" t="s">
        <v>103</v>
      </c>
      <c r="B393" s="1">
        <v>44</v>
      </c>
      <c r="C393" s="1">
        <v>1.2938</v>
      </c>
      <c r="D393" s="1">
        <v>13.895</v>
      </c>
      <c r="E393" s="1">
        <v>0.3734</v>
      </c>
      <c r="F393" s="1">
        <v>1.654</v>
      </c>
      <c r="G393" s="1">
        <f t="shared" si="30"/>
        <v>0.103115571208064</v>
      </c>
      <c r="H393" s="11"/>
      <c r="W393" s="8" t="s">
        <v>104</v>
      </c>
      <c r="X393" s="4">
        <f t="shared" si="31"/>
        <v>0.121330006426735</v>
      </c>
      <c r="Y393" s="4">
        <f t="shared" si="32"/>
        <v>0.00676756472795498</v>
      </c>
      <c r="Z393" s="4">
        <f t="shared" si="29"/>
        <v>-0.028993686440678</v>
      </c>
      <c r="AA393" s="4">
        <f t="shared" si="33"/>
        <v>0.00401168649405178</v>
      </c>
    </row>
    <row r="394" s="4" customFormat="1" ht="15" customHeight="1" spans="1:27">
      <c r="A394" s="6" t="s">
        <v>103</v>
      </c>
      <c r="B394" s="1">
        <v>44</v>
      </c>
      <c r="C394" s="1">
        <v>1.2185</v>
      </c>
      <c r="D394" s="1">
        <v>13.713</v>
      </c>
      <c r="E394" s="1">
        <v>0.3945</v>
      </c>
      <c r="F394" s="1">
        <v>1.699</v>
      </c>
      <c r="G394" s="1">
        <f t="shared" si="30"/>
        <v>0.0642996208546645</v>
      </c>
      <c r="X394" s="4">
        <f t="shared" si="31"/>
        <v>0.063717763496144</v>
      </c>
      <c r="Y394" s="4">
        <f t="shared" si="32"/>
        <v>0.0116982964352721</v>
      </c>
      <c r="Z394" s="4">
        <f t="shared" si="29"/>
        <v>-0.0132670338983051</v>
      </c>
      <c r="AA394" s="4">
        <f t="shared" si="33"/>
        <v>0.00215059482155353</v>
      </c>
    </row>
    <row r="395" s="4" customFormat="1" ht="15" customHeight="1" spans="1:27">
      <c r="A395" s="6" t="s">
        <v>103</v>
      </c>
      <c r="B395" s="1">
        <v>44</v>
      </c>
      <c r="C395" s="1">
        <v>1.3033</v>
      </c>
      <c r="D395" s="1">
        <v>13.633</v>
      </c>
      <c r="E395" s="1">
        <v>0.3931</v>
      </c>
      <c r="F395" s="1">
        <v>1.608</v>
      </c>
      <c r="G395" s="1">
        <f t="shared" si="30"/>
        <v>0.134067761607079</v>
      </c>
      <c r="W395" s="8"/>
      <c r="X395" s="4">
        <f t="shared" si="31"/>
        <v>0.128598483290488</v>
      </c>
      <c r="Y395" s="4">
        <f t="shared" si="32"/>
        <v>0.013865651031895</v>
      </c>
      <c r="Z395" s="4">
        <f t="shared" si="29"/>
        <v>-0.0143105084745763</v>
      </c>
      <c r="AA395" s="4">
        <f t="shared" si="33"/>
        <v>0.00591413575927221</v>
      </c>
    </row>
    <row r="396" s="4" customFormat="1" ht="15" customHeight="1" spans="1:27">
      <c r="A396" s="6" t="s">
        <v>103</v>
      </c>
      <c r="B396" s="1">
        <v>44</v>
      </c>
      <c r="C396" s="1">
        <v>1.2505</v>
      </c>
      <c r="D396" s="1">
        <v>13.113</v>
      </c>
      <c r="E396" s="1">
        <v>0.3494</v>
      </c>
      <c r="F396" s="1">
        <v>1.749</v>
      </c>
      <c r="G396" s="1">
        <f t="shared" si="30"/>
        <v>0.0693554030460656</v>
      </c>
      <c r="W396" s="8"/>
      <c r="X396" s="4">
        <f t="shared" si="31"/>
        <v>0.0882010539845759</v>
      </c>
      <c r="Y396" s="4">
        <f t="shared" si="32"/>
        <v>0.0279534559099437</v>
      </c>
      <c r="Z396" s="4">
        <f t="shared" si="29"/>
        <v>-0.0468818220338983</v>
      </c>
      <c r="AA396" s="4">
        <f t="shared" si="33"/>
        <v>8.27151854443576e-5</v>
      </c>
    </row>
    <row r="397" s="4" customFormat="1" ht="15" customHeight="1" spans="1:27">
      <c r="A397" s="6" t="s">
        <v>105</v>
      </c>
      <c r="B397" s="1">
        <v>45</v>
      </c>
      <c r="C397" s="1">
        <v>1.1024</v>
      </c>
      <c r="D397" s="1">
        <v>13.888</v>
      </c>
      <c r="E397" s="1">
        <v>0.3466</v>
      </c>
      <c r="F397" s="1">
        <v>1.769</v>
      </c>
      <c r="G397" s="1">
        <f t="shared" si="30"/>
        <v>-0.0678666744074783</v>
      </c>
      <c r="W397" s="8"/>
      <c r="X397" s="4">
        <f t="shared" si="31"/>
        <v>-0.0251106748071978</v>
      </c>
      <c r="Y397" s="4">
        <f t="shared" si="32"/>
        <v>0.00695720825515948</v>
      </c>
      <c r="Z397" s="4">
        <f t="shared" si="29"/>
        <v>-0.0489687711864407</v>
      </c>
      <c r="AA397" s="4">
        <f t="shared" si="33"/>
        <v>-0.000744436668999301</v>
      </c>
    </row>
    <row r="398" s="4" customFormat="1" ht="15" customHeight="1" spans="1:27">
      <c r="A398" s="6" t="s">
        <v>105</v>
      </c>
      <c r="B398" s="1">
        <v>45</v>
      </c>
      <c r="C398" s="1">
        <v>1.2616</v>
      </c>
      <c r="D398" s="1">
        <v>14.932</v>
      </c>
      <c r="E398" s="1">
        <v>0.4093</v>
      </c>
      <c r="F398" s="1">
        <v>1.777</v>
      </c>
      <c r="G398" s="1">
        <f t="shared" si="30"/>
        <v>0.0720556117820522</v>
      </c>
      <c r="W398" s="8"/>
      <c r="X398" s="4">
        <f t="shared" si="31"/>
        <v>0.0966936953727508</v>
      </c>
      <c r="Y398" s="4">
        <f t="shared" si="32"/>
        <v>-0.0213267692307692</v>
      </c>
      <c r="Z398" s="4">
        <f t="shared" si="29"/>
        <v>-0.00223601694915254</v>
      </c>
      <c r="AA398" s="4">
        <f t="shared" si="33"/>
        <v>-0.00107529741077677</v>
      </c>
    </row>
    <row r="399" s="4" customFormat="1" ht="15" customHeight="1" spans="1:27">
      <c r="A399" s="6" t="s">
        <v>105</v>
      </c>
      <c r="B399" s="1">
        <v>45</v>
      </c>
      <c r="C399" s="1">
        <v>1.2378</v>
      </c>
      <c r="D399" s="1">
        <v>13.335</v>
      </c>
      <c r="E399" s="1">
        <v>0.3741</v>
      </c>
      <c r="F399" s="1">
        <v>1.621</v>
      </c>
      <c r="G399" s="1">
        <f t="shared" si="30"/>
        <v>0.0773278328776361</v>
      </c>
      <c r="W399" s="8"/>
      <c r="X399" s="4">
        <f t="shared" si="31"/>
        <v>0.0784842480719795</v>
      </c>
      <c r="Y399" s="4">
        <f t="shared" si="32"/>
        <v>0.0219390469043152</v>
      </c>
      <c r="Z399" s="4">
        <f t="shared" si="29"/>
        <v>-0.0284719491525424</v>
      </c>
      <c r="AA399" s="4">
        <f t="shared" si="33"/>
        <v>0.00537648705388383</v>
      </c>
    </row>
    <row r="400" s="4" customFormat="1" ht="15" customHeight="1" spans="1:27">
      <c r="A400" s="6" t="s">
        <v>105</v>
      </c>
      <c r="B400" s="1">
        <v>45</v>
      </c>
      <c r="C400" s="1">
        <v>1.1417</v>
      </c>
      <c r="D400" s="1">
        <v>14.244</v>
      </c>
      <c r="E400" s="1">
        <v>0.3403</v>
      </c>
      <c r="F400" s="1">
        <v>1.843</v>
      </c>
      <c r="G400" s="1">
        <f t="shared" si="30"/>
        <v>-0.0551989586860068</v>
      </c>
      <c r="W400" s="8"/>
      <c r="X400" s="4">
        <f t="shared" si="31"/>
        <v>0.00495786632390749</v>
      </c>
      <c r="Y400" s="4">
        <f t="shared" si="32"/>
        <v>-0.00268751969981238</v>
      </c>
      <c r="Z400" s="4">
        <f t="shared" si="29"/>
        <v>-0.053664406779661</v>
      </c>
      <c r="AA400" s="4">
        <f t="shared" si="33"/>
        <v>-0.00380489853044087</v>
      </c>
    </row>
    <row r="401" s="4" customFormat="1" ht="15" customHeight="1" spans="1:27">
      <c r="A401" s="6" t="s">
        <v>105</v>
      </c>
      <c r="B401" s="1">
        <v>45</v>
      </c>
      <c r="C401" s="1">
        <v>1.2314</v>
      </c>
      <c r="D401" s="1">
        <v>16.414</v>
      </c>
      <c r="E401" s="1">
        <v>0.3393</v>
      </c>
      <c r="F401" s="1">
        <v>2.096</v>
      </c>
      <c r="G401" s="1">
        <f t="shared" si="30"/>
        <v>-0.0565675384107803</v>
      </c>
      <c r="W401" s="8"/>
      <c r="X401" s="4">
        <f t="shared" si="31"/>
        <v>0.0735875899742932</v>
      </c>
      <c r="Y401" s="4">
        <f t="shared" si="32"/>
        <v>-0.0614770131332083</v>
      </c>
      <c r="Z401" s="4">
        <f t="shared" si="29"/>
        <v>-0.0544097457627119</v>
      </c>
      <c r="AA401" s="4">
        <f t="shared" si="33"/>
        <v>-0.0142683694891533</v>
      </c>
    </row>
    <row r="402" s="4" customFormat="1" ht="15" customHeight="1" spans="1:27">
      <c r="A402" s="6" t="s">
        <v>105</v>
      </c>
      <c r="B402" s="1">
        <v>45</v>
      </c>
      <c r="C402" s="1">
        <v>1.2054</v>
      </c>
      <c r="D402" s="1">
        <v>14.145</v>
      </c>
      <c r="E402" s="1">
        <v>0.4372</v>
      </c>
      <c r="F402" s="1">
        <v>1.724</v>
      </c>
      <c r="G402" s="1">
        <f t="shared" si="30"/>
        <v>0.0733650937474157</v>
      </c>
      <c r="H402" s="11"/>
      <c r="W402" s="8" t="s">
        <v>106</v>
      </c>
      <c r="X402" s="4">
        <f t="shared" si="31"/>
        <v>0.0536949164524423</v>
      </c>
      <c r="Y402" s="4">
        <f t="shared" si="32"/>
        <v>-5.41838649154459e-6</v>
      </c>
      <c r="Z402" s="4">
        <f t="shared" si="29"/>
        <v>0.0185589406779661</v>
      </c>
      <c r="AA402" s="4">
        <f t="shared" si="33"/>
        <v>0.00111665500349895</v>
      </c>
    </row>
    <row r="403" s="4" customFormat="1" ht="15" customHeight="1" spans="1:27">
      <c r="A403" s="6" t="s">
        <v>105</v>
      </c>
      <c r="B403" s="1">
        <v>45</v>
      </c>
      <c r="C403" s="1">
        <v>1.3685</v>
      </c>
      <c r="D403" s="1">
        <v>13.975</v>
      </c>
      <c r="E403" s="1">
        <v>0.4219</v>
      </c>
      <c r="F403" s="1">
        <v>1.723</v>
      </c>
      <c r="G403" s="1">
        <f t="shared" si="30"/>
        <v>0.19139666462551</v>
      </c>
      <c r="X403" s="4">
        <f t="shared" si="31"/>
        <v>0.178483187660668</v>
      </c>
      <c r="Y403" s="4">
        <f t="shared" si="32"/>
        <v>0.00460021013133209</v>
      </c>
      <c r="Z403" s="4">
        <f t="shared" ref="Z403:Z466" si="34">(E403-U$2)/P$2*K$2</f>
        <v>0.00715525423728813</v>
      </c>
      <c r="AA403" s="4">
        <f t="shared" si="33"/>
        <v>0.00115801259622113</v>
      </c>
    </row>
    <row r="404" s="4" customFormat="1" ht="15" customHeight="1" spans="1:27">
      <c r="A404" s="6" t="s">
        <v>105</v>
      </c>
      <c r="B404" s="1">
        <v>45</v>
      </c>
      <c r="C404" s="1">
        <v>1.3711</v>
      </c>
      <c r="D404" s="1">
        <v>15.479</v>
      </c>
      <c r="E404" s="1">
        <v>0.4567</v>
      </c>
      <c r="F404" s="1">
        <v>1.955</v>
      </c>
      <c r="G404" s="1">
        <f t="shared" si="30"/>
        <v>0.168982500659808</v>
      </c>
      <c r="W404" s="8"/>
      <c r="X404" s="4">
        <f t="shared" si="31"/>
        <v>0.180472455012854</v>
      </c>
      <c r="Y404" s="4">
        <f t="shared" si="32"/>
        <v>-0.0361460562851782</v>
      </c>
      <c r="Z404" s="4">
        <f t="shared" si="34"/>
        <v>0.0330930508474576</v>
      </c>
      <c r="AA404" s="4">
        <f t="shared" si="33"/>
        <v>-0.00843694891532541</v>
      </c>
    </row>
    <row r="405" s="4" customFormat="1" ht="15" customHeight="1" spans="1:27">
      <c r="A405" s="6" t="s">
        <v>105</v>
      </c>
      <c r="B405" s="1">
        <v>45</v>
      </c>
      <c r="C405" s="1">
        <v>1.2582</v>
      </c>
      <c r="D405" s="1">
        <v>14.789</v>
      </c>
      <c r="E405" s="1">
        <v>0.4652</v>
      </c>
      <c r="F405" s="1">
        <v>1.85</v>
      </c>
      <c r="G405" s="1">
        <f t="shared" si="30"/>
        <v>0.111973753392943</v>
      </c>
      <c r="W405" s="8"/>
      <c r="X405" s="4">
        <f t="shared" si="31"/>
        <v>0.0940923457583548</v>
      </c>
      <c r="Y405" s="4">
        <f t="shared" si="32"/>
        <v>-0.0174526228893058</v>
      </c>
      <c r="Z405" s="4">
        <f t="shared" si="34"/>
        <v>0.0394284322033898</v>
      </c>
      <c r="AA405" s="4">
        <f t="shared" si="33"/>
        <v>-0.00409440167949616</v>
      </c>
    </row>
    <row r="406" s="4" customFormat="1" ht="15" customHeight="1" spans="1:27">
      <c r="A406" s="6" t="s">
        <v>107</v>
      </c>
      <c r="B406" s="1">
        <v>46</v>
      </c>
      <c r="C406" s="1">
        <v>1.1039</v>
      </c>
      <c r="D406" s="1">
        <v>15.287</v>
      </c>
      <c r="E406" s="1">
        <v>0.3445</v>
      </c>
      <c r="F406" s="1">
        <v>1.849</v>
      </c>
      <c r="G406" s="1">
        <f t="shared" si="30"/>
        <v>-0.109494452956457</v>
      </c>
      <c r="W406" s="8"/>
      <c r="X406" s="4">
        <f t="shared" si="31"/>
        <v>-0.0239630205655525</v>
      </c>
      <c r="Y406" s="4">
        <f t="shared" si="32"/>
        <v>-0.0309444052532833</v>
      </c>
      <c r="Z406" s="4">
        <f t="shared" si="34"/>
        <v>-0.0505339830508475</v>
      </c>
      <c r="AA406" s="4">
        <f t="shared" si="33"/>
        <v>-0.00405304408677397</v>
      </c>
    </row>
    <row r="407" s="4" customFormat="1" ht="15" customHeight="1" spans="1:27">
      <c r="A407" s="6" t="s">
        <v>107</v>
      </c>
      <c r="B407" s="1">
        <v>46</v>
      </c>
      <c r="C407" s="1">
        <v>1.2184</v>
      </c>
      <c r="D407" s="1">
        <v>14.715</v>
      </c>
      <c r="E407" s="1">
        <v>0.415</v>
      </c>
      <c r="F407" s="1">
        <v>1.942</v>
      </c>
      <c r="G407" s="1">
        <f t="shared" si="30"/>
        <v>0.0423065483702382</v>
      </c>
      <c r="W407" s="8"/>
      <c r="X407" s="4">
        <f t="shared" si="31"/>
        <v>0.0636412532133676</v>
      </c>
      <c r="Y407" s="4">
        <f t="shared" si="32"/>
        <v>-0.0154478198874296</v>
      </c>
      <c r="Z407" s="4">
        <f t="shared" si="34"/>
        <v>0.00201241525423727</v>
      </c>
      <c r="AA407" s="4">
        <f t="shared" si="33"/>
        <v>-0.00789930020993702</v>
      </c>
    </row>
    <row r="408" s="4" customFormat="1" ht="15" customHeight="1" spans="1:27">
      <c r="A408" s="6" t="s">
        <v>107</v>
      </c>
      <c r="B408" s="1">
        <v>46</v>
      </c>
      <c r="C408" s="1">
        <v>1.1355</v>
      </c>
      <c r="D408" s="1">
        <v>14.139</v>
      </c>
      <c r="E408" s="1">
        <v>0.3913</v>
      </c>
      <c r="F408" s="1">
        <v>1.885</v>
      </c>
      <c r="G408" s="1">
        <f t="shared" si="30"/>
        <v>-0.0208226740688114</v>
      </c>
      <c r="W408" s="8"/>
      <c r="X408" s="4">
        <f t="shared" si="31"/>
        <v>0.000214228791773823</v>
      </c>
      <c r="Y408" s="4">
        <f t="shared" si="32"/>
        <v>0.000157133208255178</v>
      </c>
      <c r="Z408" s="4">
        <f t="shared" si="34"/>
        <v>-0.0156521186440678</v>
      </c>
      <c r="AA408" s="4">
        <f t="shared" si="33"/>
        <v>-0.00554191742477257</v>
      </c>
    </row>
    <row r="409" s="4" customFormat="1" ht="15" customHeight="1" spans="1:27">
      <c r="A409" s="6" t="s">
        <v>107</v>
      </c>
      <c r="B409" s="1">
        <v>46</v>
      </c>
      <c r="C409" s="1">
        <v>1.1921</v>
      </c>
      <c r="D409" s="1">
        <v>13.604</v>
      </c>
      <c r="E409" s="1">
        <v>0.439</v>
      </c>
      <c r="F409" s="1">
        <v>1.727</v>
      </c>
      <c r="G409" s="1">
        <f t="shared" si="30"/>
        <v>0.0790634989891485</v>
      </c>
      <c r="W409" s="8"/>
      <c r="X409" s="4">
        <f t="shared" si="31"/>
        <v>0.0435190488431877</v>
      </c>
      <c r="Y409" s="4">
        <f t="shared" si="32"/>
        <v>0.0146513170731708</v>
      </c>
      <c r="Z409" s="4">
        <f t="shared" si="34"/>
        <v>0.0199005508474576</v>
      </c>
      <c r="AA409" s="4">
        <f t="shared" si="33"/>
        <v>0.000992582225332392</v>
      </c>
    </row>
    <row r="410" s="4" customFormat="1" ht="15" customHeight="1" spans="1:27">
      <c r="A410" s="6" t="s">
        <v>107</v>
      </c>
      <c r="B410" s="1">
        <v>46</v>
      </c>
      <c r="C410" s="1">
        <v>1.2161</v>
      </c>
      <c r="D410" s="1">
        <v>13.711</v>
      </c>
      <c r="E410" s="1">
        <v>0.3909</v>
      </c>
      <c r="F410" s="1">
        <v>1.578</v>
      </c>
      <c r="G410" s="1">
        <f t="shared" si="30"/>
        <v>0.0648386063133488</v>
      </c>
      <c r="W410" s="8"/>
      <c r="X410" s="4">
        <f t="shared" si="31"/>
        <v>0.0618815167095116</v>
      </c>
      <c r="Y410" s="4">
        <f t="shared" si="32"/>
        <v>0.0117524803001876</v>
      </c>
      <c r="Z410" s="4">
        <f t="shared" si="34"/>
        <v>-0.0159502542372881</v>
      </c>
      <c r="AA410" s="4">
        <f t="shared" si="33"/>
        <v>0.00715486354093771</v>
      </c>
    </row>
    <row r="411" s="4" customFormat="1" ht="15" customHeight="1" spans="1:27">
      <c r="A411" s="6" t="s">
        <v>107</v>
      </c>
      <c r="B411" s="1">
        <v>46</v>
      </c>
      <c r="C411" s="1">
        <v>1.2421</v>
      </c>
      <c r="D411" s="1">
        <v>14.719</v>
      </c>
      <c r="E411" s="1">
        <v>0.4551</v>
      </c>
      <c r="F411" s="1">
        <v>1.903</v>
      </c>
      <c r="G411" s="1">
        <f t="shared" si="30"/>
        <v>0.0918321569949062</v>
      </c>
      <c r="H411" s="7"/>
      <c r="W411" s="8" t="s">
        <v>108</v>
      </c>
      <c r="X411" s="4">
        <f t="shared" si="31"/>
        <v>0.0817741902313625</v>
      </c>
      <c r="Y411" s="4">
        <f t="shared" si="32"/>
        <v>-0.0155561876172608</v>
      </c>
      <c r="Z411" s="4">
        <f t="shared" si="34"/>
        <v>0.0319005084745763</v>
      </c>
      <c r="AA411" s="4">
        <f t="shared" si="33"/>
        <v>-0.00628635409377187</v>
      </c>
    </row>
    <row r="412" s="4" customFormat="1" ht="15" customHeight="1" spans="1:27">
      <c r="A412" s="6" t="s">
        <v>107</v>
      </c>
      <c r="B412" s="1">
        <v>46</v>
      </c>
      <c r="C412" s="1">
        <v>1.1485</v>
      </c>
      <c r="D412" s="1">
        <v>13.478</v>
      </c>
      <c r="E412" s="1">
        <v>0.4394</v>
      </c>
      <c r="F412" s="1">
        <v>1.779</v>
      </c>
      <c r="G412" s="1">
        <f t="shared" si="30"/>
        <v>0.047266139960008</v>
      </c>
      <c r="X412" s="4">
        <f t="shared" si="31"/>
        <v>0.0101605655526994</v>
      </c>
      <c r="Y412" s="4">
        <f t="shared" si="32"/>
        <v>0.0180649005628518</v>
      </c>
      <c r="Z412" s="4">
        <f t="shared" si="34"/>
        <v>0.020198686440678</v>
      </c>
      <c r="AA412" s="4">
        <f t="shared" si="33"/>
        <v>-0.00115801259622113</v>
      </c>
    </row>
    <row r="413" s="4" customFormat="1" ht="15" customHeight="1" spans="1:27">
      <c r="A413" s="6" t="s">
        <v>107</v>
      </c>
      <c r="B413" s="1">
        <v>46</v>
      </c>
      <c r="C413" s="1">
        <v>1.2107</v>
      </c>
      <c r="D413" s="1">
        <v>13.932</v>
      </c>
      <c r="E413" s="1">
        <v>0.4336</v>
      </c>
      <c r="F413" s="1">
        <v>1.831</v>
      </c>
      <c r="G413" s="1">
        <f t="shared" si="30"/>
        <v>0.0760822375878141</v>
      </c>
      <c r="W413" s="8"/>
      <c r="X413" s="4">
        <f t="shared" si="31"/>
        <v>0.0577499614395888</v>
      </c>
      <c r="Y413" s="4">
        <f t="shared" si="32"/>
        <v>0.00576516322701688</v>
      </c>
      <c r="Z413" s="4">
        <f t="shared" si="34"/>
        <v>0.015875720338983</v>
      </c>
      <c r="AA413" s="4">
        <f t="shared" si="33"/>
        <v>-0.00330860741777467</v>
      </c>
    </row>
    <row r="414" s="4" customFormat="1" ht="15" customHeight="1" spans="1:27">
      <c r="A414" s="6" t="s">
        <v>107</v>
      </c>
      <c r="B414" s="1">
        <v>46</v>
      </c>
      <c r="C414" s="1">
        <v>1.154</v>
      </c>
      <c r="D414" s="1">
        <v>13.958</v>
      </c>
      <c r="E414" s="1">
        <v>0.4166</v>
      </c>
      <c r="F414" s="1">
        <v>1.706</v>
      </c>
      <c r="G414" s="1">
        <f t="shared" si="30"/>
        <v>0.0244954533881298</v>
      </c>
      <c r="W414" s="8"/>
      <c r="X414" s="4">
        <f t="shared" si="31"/>
        <v>0.0143686311053985</v>
      </c>
      <c r="Y414" s="4">
        <f t="shared" si="32"/>
        <v>0.00506077298311444</v>
      </c>
      <c r="Z414" s="4">
        <f t="shared" si="34"/>
        <v>0.00320495762711866</v>
      </c>
      <c r="AA414" s="4">
        <f t="shared" si="33"/>
        <v>0.00186109167249825</v>
      </c>
    </row>
    <row r="415" s="4" customFormat="1" ht="15" customHeight="1" spans="1:27">
      <c r="A415" s="6" t="s">
        <v>109</v>
      </c>
      <c r="B415" s="1">
        <v>47</v>
      </c>
      <c r="C415" s="1">
        <v>1.2763</v>
      </c>
      <c r="D415" s="1">
        <v>15.176</v>
      </c>
      <c r="E415" s="1">
        <v>0.3301</v>
      </c>
      <c r="F415" s="1">
        <v>2.022</v>
      </c>
      <c r="G415" s="1">
        <f t="shared" si="30"/>
        <v>0.00752873415591371</v>
      </c>
      <c r="W415" s="8"/>
      <c r="X415" s="4">
        <f t="shared" si="31"/>
        <v>0.107940706940874</v>
      </c>
      <c r="Y415" s="4">
        <f t="shared" si="32"/>
        <v>-0.027937200750469</v>
      </c>
      <c r="Z415" s="4">
        <f t="shared" si="34"/>
        <v>-0.0612668644067797</v>
      </c>
      <c r="AA415" s="4">
        <f t="shared" si="33"/>
        <v>-0.0112079076277117</v>
      </c>
    </row>
    <row r="416" s="4" customFormat="1" ht="15" customHeight="1" spans="1:27">
      <c r="A416" s="6" t="s">
        <v>109</v>
      </c>
      <c r="B416" s="1">
        <v>47</v>
      </c>
      <c r="C416" s="1">
        <v>1.3118</v>
      </c>
      <c r="D416" s="1">
        <v>15.696</v>
      </c>
      <c r="E416" s="1">
        <v>0.4142</v>
      </c>
      <c r="F416" s="1">
        <v>1.808</v>
      </c>
      <c r="G416" s="1">
        <f t="shared" si="30"/>
        <v>0.0921356129805926</v>
      </c>
      <c r="W416" s="8"/>
      <c r="X416" s="4">
        <f t="shared" si="31"/>
        <v>0.135101857326478</v>
      </c>
      <c r="Y416" s="4">
        <f t="shared" si="32"/>
        <v>-0.0420250056285178</v>
      </c>
      <c r="Z416" s="4">
        <f t="shared" si="34"/>
        <v>0.00141614406779662</v>
      </c>
      <c r="AA416" s="4">
        <f t="shared" si="33"/>
        <v>-0.00235738278516446</v>
      </c>
    </row>
    <row r="417" s="4" customFormat="1" ht="15" customHeight="1" spans="1:27">
      <c r="A417" s="6" t="s">
        <v>109</v>
      </c>
      <c r="B417" s="1">
        <v>47</v>
      </c>
      <c r="C417" s="1">
        <v>1.2556</v>
      </c>
      <c r="D417" s="1">
        <v>14.851</v>
      </c>
      <c r="E417" s="1">
        <v>0.4549</v>
      </c>
      <c r="F417" s="1">
        <v>1.723</v>
      </c>
      <c r="G417" s="1">
        <f t="shared" si="30"/>
        <v>0.105880208978668</v>
      </c>
      <c r="W417" s="8"/>
      <c r="X417" s="4">
        <f t="shared" si="31"/>
        <v>0.0921030784061698</v>
      </c>
      <c r="Y417" s="4">
        <f t="shared" si="32"/>
        <v>-0.0191323227016886</v>
      </c>
      <c r="Z417" s="4">
        <f t="shared" si="34"/>
        <v>0.0317514406779661</v>
      </c>
      <c r="AA417" s="4">
        <f t="shared" si="33"/>
        <v>0.00115801259622113</v>
      </c>
    </row>
    <row r="418" s="4" customFormat="1" ht="15" customHeight="1" spans="1:27">
      <c r="A418" s="6" t="s">
        <v>109</v>
      </c>
      <c r="B418" s="1">
        <v>47</v>
      </c>
      <c r="C418" s="1">
        <v>1.3368</v>
      </c>
      <c r="D418" s="1">
        <v>14.417</v>
      </c>
      <c r="E418" s="1">
        <v>0.4372</v>
      </c>
      <c r="F418" s="1">
        <v>1.795</v>
      </c>
      <c r="G418" s="1">
        <f t="shared" si="30"/>
        <v>0.163594210603746</v>
      </c>
      <c r="W418" s="8"/>
      <c r="X418" s="4">
        <f t="shared" si="31"/>
        <v>0.154229428020566</v>
      </c>
      <c r="Y418" s="4">
        <f t="shared" si="32"/>
        <v>-0.00737442401500937</v>
      </c>
      <c r="Z418" s="4">
        <f t="shared" si="34"/>
        <v>0.0185589406779661</v>
      </c>
      <c r="AA418" s="4">
        <f t="shared" si="33"/>
        <v>-0.00181973407977607</v>
      </c>
    </row>
    <row r="419" s="4" customFormat="1" ht="15" customHeight="1" spans="1:27">
      <c r="A419" s="6" t="s">
        <v>109</v>
      </c>
      <c r="B419" s="1">
        <v>47</v>
      </c>
      <c r="C419" s="1">
        <v>1.2577</v>
      </c>
      <c r="D419" s="1">
        <v>14.836</v>
      </c>
      <c r="E419" s="1">
        <v>0.3743</v>
      </c>
      <c r="F419" s="1">
        <v>1.769</v>
      </c>
      <c r="G419" s="1">
        <f t="shared" si="30"/>
        <v>0.0459165326047198</v>
      </c>
      <c r="W419" s="8"/>
      <c r="X419" s="4">
        <f t="shared" si="31"/>
        <v>0.0937097943444731</v>
      </c>
      <c r="Y419" s="4">
        <f t="shared" si="32"/>
        <v>-0.0187259437148218</v>
      </c>
      <c r="Z419" s="4">
        <f t="shared" si="34"/>
        <v>-0.0283228813559322</v>
      </c>
      <c r="AA419" s="4">
        <f t="shared" si="33"/>
        <v>-0.000744436668999301</v>
      </c>
    </row>
    <row r="420" s="4" customFormat="1" ht="15" customHeight="1" spans="1:27">
      <c r="A420" s="6" t="s">
        <v>109</v>
      </c>
      <c r="B420" s="1">
        <v>47</v>
      </c>
      <c r="C420" s="1">
        <v>1.2345</v>
      </c>
      <c r="D420" s="1">
        <v>13.493</v>
      </c>
      <c r="E420" s="1">
        <v>0.4667</v>
      </c>
      <c r="F420" s="1">
        <v>1.659</v>
      </c>
      <c r="G420" s="1">
        <f t="shared" si="30"/>
        <v>0.137969269524752</v>
      </c>
      <c r="H420" s="7"/>
      <c r="W420" s="8" t="s">
        <v>110</v>
      </c>
      <c r="X420" s="4">
        <f t="shared" si="31"/>
        <v>0.0759594087403599</v>
      </c>
      <c r="Y420" s="4">
        <f t="shared" si="32"/>
        <v>0.017658521575985</v>
      </c>
      <c r="Z420" s="4">
        <f t="shared" si="34"/>
        <v>0.0405464406779661</v>
      </c>
      <c r="AA420" s="4">
        <f t="shared" si="33"/>
        <v>0.00380489853044086</v>
      </c>
    </row>
    <row r="421" s="4" customFormat="1" ht="15" customHeight="1" spans="1:27">
      <c r="A421" s="6" t="s">
        <v>109</v>
      </c>
      <c r="B421" s="1">
        <v>47</v>
      </c>
      <c r="C421" s="1">
        <v>1.2383</v>
      </c>
      <c r="D421" s="1">
        <v>14.005</v>
      </c>
      <c r="E421" s="1">
        <v>0.4029</v>
      </c>
      <c r="F421" s="1">
        <v>1.752</v>
      </c>
      <c r="G421" s="1">
        <f t="shared" si="30"/>
        <v>0.0756067076100595</v>
      </c>
      <c r="X421" s="4">
        <f t="shared" si="31"/>
        <v>0.0788667994858612</v>
      </c>
      <c r="Y421" s="4">
        <f t="shared" si="32"/>
        <v>0.00378745215759848</v>
      </c>
      <c r="Z421" s="4">
        <f t="shared" si="34"/>
        <v>-0.00700618644067798</v>
      </c>
      <c r="AA421" s="4">
        <f t="shared" si="33"/>
        <v>-4.1357592722188e-5</v>
      </c>
    </row>
    <row r="422" s="4" customFormat="1" ht="15" customHeight="1" spans="1:27">
      <c r="A422" s="6" t="s">
        <v>109</v>
      </c>
      <c r="B422" s="1">
        <v>47</v>
      </c>
      <c r="C422" s="1">
        <v>1.1887</v>
      </c>
      <c r="D422" s="1">
        <v>14.914</v>
      </c>
      <c r="E422" s="1">
        <v>0.334</v>
      </c>
      <c r="F422" s="1">
        <v>1.907</v>
      </c>
      <c r="G422" s="1">
        <f t="shared" si="30"/>
        <v>-0.0447332420552791</v>
      </c>
      <c r="W422" s="8"/>
      <c r="X422" s="4">
        <f t="shared" si="31"/>
        <v>0.0409176992287919</v>
      </c>
      <c r="Y422" s="4">
        <f t="shared" si="32"/>
        <v>-0.0208391144465291</v>
      </c>
      <c r="Z422" s="4">
        <f t="shared" si="34"/>
        <v>-0.0583600423728814</v>
      </c>
      <c r="AA422" s="4">
        <f t="shared" si="33"/>
        <v>-0.00645178446466061</v>
      </c>
    </row>
    <row r="423" s="4" customFormat="1" ht="15" customHeight="1" spans="1:27">
      <c r="A423" s="6" t="s">
        <v>109</v>
      </c>
      <c r="B423" s="1">
        <v>47</v>
      </c>
      <c r="C423" s="1">
        <v>1.2501</v>
      </c>
      <c r="D423" s="1">
        <v>16.764</v>
      </c>
      <c r="E423" s="1">
        <v>0.4344</v>
      </c>
      <c r="F423" s="1">
        <v>2.09</v>
      </c>
      <c r="G423" s="1">
        <f t="shared" si="30"/>
        <v>0.0193875909526407</v>
      </c>
      <c r="W423" s="8"/>
      <c r="X423" s="4">
        <f t="shared" si="31"/>
        <v>0.0878950128534705</v>
      </c>
      <c r="Y423" s="4">
        <f t="shared" si="32"/>
        <v>-0.0709591894934334</v>
      </c>
      <c r="Z423" s="4">
        <f t="shared" si="34"/>
        <v>0.0164719915254237</v>
      </c>
      <c r="AA423" s="4">
        <f t="shared" si="33"/>
        <v>-0.0140202239328202</v>
      </c>
    </row>
    <row r="424" s="4" customFormat="1" ht="15" customHeight="1" spans="1:27">
      <c r="A424" s="6" t="s">
        <v>111</v>
      </c>
      <c r="B424" s="1">
        <v>48</v>
      </c>
      <c r="C424" s="1">
        <v>1.2303</v>
      </c>
      <c r="D424" s="1">
        <v>16.438</v>
      </c>
      <c r="E424" s="1">
        <v>0.3975</v>
      </c>
      <c r="F424" s="1">
        <v>1.985</v>
      </c>
      <c r="G424" s="1">
        <f t="shared" si="30"/>
        <v>-0.0100899362945853</v>
      </c>
      <c r="K424" s="9"/>
      <c r="W424" s="8"/>
      <c r="X424" s="4">
        <f t="shared" si="31"/>
        <v>0.0727459768637532</v>
      </c>
      <c r="Y424" s="4">
        <f t="shared" si="32"/>
        <v>-0.0621272195121951</v>
      </c>
      <c r="Z424" s="4">
        <f t="shared" si="34"/>
        <v>-0.0110310169491525</v>
      </c>
      <c r="AA424" s="4">
        <f t="shared" si="33"/>
        <v>-0.00967767669699091</v>
      </c>
    </row>
    <row r="425" s="4" customFormat="1" ht="15" customHeight="1" spans="1:27">
      <c r="A425" s="6" t="s">
        <v>111</v>
      </c>
      <c r="B425" s="1">
        <v>48</v>
      </c>
      <c r="C425" s="1">
        <v>1.1653</v>
      </c>
      <c r="D425" s="1">
        <v>14.986</v>
      </c>
      <c r="E425" s="1">
        <v>0.4069</v>
      </c>
      <c r="F425" s="1">
        <v>1.864</v>
      </c>
      <c r="G425" s="1">
        <f t="shared" si="30"/>
        <v>-0.00847367901044497</v>
      </c>
      <c r="W425" s="8"/>
      <c r="X425" s="4">
        <f t="shared" si="31"/>
        <v>0.023014293059126</v>
      </c>
      <c r="Y425" s="4">
        <f t="shared" si="32"/>
        <v>-0.0227897335834897</v>
      </c>
      <c r="Z425" s="4">
        <f t="shared" si="34"/>
        <v>-0.00402483050847459</v>
      </c>
      <c r="AA425" s="4">
        <f t="shared" si="33"/>
        <v>-0.00467340797760673</v>
      </c>
    </row>
    <row r="426" s="4" customFormat="1" ht="15" customHeight="1" spans="1:27">
      <c r="A426" s="6" t="s">
        <v>111</v>
      </c>
      <c r="B426" s="1">
        <v>48</v>
      </c>
      <c r="C426" s="1">
        <v>1.1603</v>
      </c>
      <c r="D426" s="1">
        <v>15.701</v>
      </c>
      <c r="E426" s="1">
        <v>0.4426</v>
      </c>
      <c r="F426" s="1">
        <v>2.028</v>
      </c>
      <c r="G426" s="1">
        <f t="shared" si="30"/>
        <v>-0.0118439683681022</v>
      </c>
      <c r="W426" s="8"/>
      <c r="X426" s="4">
        <f t="shared" si="31"/>
        <v>0.0191887789203086</v>
      </c>
      <c r="Y426" s="4">
        <f t="shared" si="32"/>
        <v>-0.0421604652908068</v>
      </c>
      <c r="Z426" s="4">
        <f t="shared" si="34"/>
        <v>0.0225837711864407</v>
      </c>
      <c r="AA426" s="4">
        <f t="shared" si="33"/>
        <v>-0.0114560531840448</v>
      </c>
    </row>
    <row r="427" s="4" customFormat="1" ht="15" customHeight="1" spans="1:27">
      <c r="A427" s="6" t="s">
        <v>111</v>
      </c>
      <c r="B427" s="1">
        <v>48</v>
      </c>
      <c r="C427" s="1">
        <v>1.218</v>
      </c>
      <c r="D427" s="1">
        <v>15.947</v>
      </c>
      <c r="E427" s="1">
        <v>0.4255</v>
      </c>
      <c r="F427" s="1">
        <v>1.876</v>
      </c>
      <c r="G427" s="1">
        <f t="shared" si="30"/>
        <v>0.0191789068928384</v>
      </c>
      <c r="W427" s="8"/>
      <c r="X427" s="4">
        <f t="shared" si="31"/>
        <v>0.0633352120822623</v>
      </c>
      <c r="Y427" s="4">
        <f t="shared" si="32"/>
        <v>-0.0488250806754221</v>
      </c>
      <c r="Z427" s="4">
        <f t="shared" si="34"/>
        <v>0.00983847457627118</v>
      </c>
      <c r="AA427" s="4">
        <f t="shared" si="33"/>
        <v>-0.00516969909027292</v>
      </c>
    </row>
    <row r="428" s="4" customFormat="1" ht="15" customHeight="1" spans="1:27">
      <c r="A428" s="6" t="s">
        <v>111</v>
      </c>
      <c r="B428" s="1">
        <v>48</v>
      </c>
      <c r="C428" s="1">
        <v>1.2219</v>
      </c>
      <c r="D428" s="1">
        <v>15.186</v>
      </c>
      <c r="E428" s="1">
        <v>0.3925</v>
      </c>
      <c r="F428" s="1">
        <v>2.033</v>
      </c>
      <c r="G428" s="1">
        <f t="shared" si="30"/>
        <v>0.0116904400234305</v>
      </c>
      <c r="H428" s="7"/>
      <c r="W428" s="8" t="s">
        <v>112</v>
      </c>
      <c r="X428" s="4">
        <f t="shared" si="31"/>
        <v>0.0663191131105399</v>
      </c>
      <c r="Y428" s="4">
        <f t="shared" si="32"/>
        <v>-0.0282081200750469</v>
      </c>
      <c r="Z428" s="4">
        <f t="shared" si="34"/>
        <v>-0.0147577118644068</v>
      </c>
      <c r="AA428" s="4">
        <f t="shared" si="33"/>
        <v>-0.0116628411476557</v>
      </c>
    </row>
    <row r="429" s="4" customFormat="1" ht="15" customHeight="1" spans="1:27">
      <c r="A429" s="6" t="s">
        <v>111</v>
      </c>
      <c r="B429" s="1">
        <v>48</v>
      </c>
      <c r="C429" s="1">
        <v>1.2781</v>
      </c>
      <c r="D429" s="1">
        <v>14.062</v>
      </c>
      <c r="E429" s="1">
        <v>0.465</v>
      </c>
      <c r="F429" s="1">
        <v>1.668</v>
      </c>
      <c r="G429" s="1">
        <f t="shared" si="30"/>
        <v>0.154273148641074</v>
      </c>
      <c r="W429" s="8"/>
      <c r="X429" s="4">
        <f t="shared" si="31"/>
        <v>0.109317892030848</v>
      </c>
      <c r="Y429" s="4">
        <f t="shared" si="32"/>
        <v>0.00224321200750471</v>
      </c>
      <c r="Z429" s="4">
        <f t="shared" si="34"/>
        <v>0.0392793644067797</v>
      </c>
      <c r="AA429" s="4">
        <f t="shared" si="33"/>
        <v>0.00343268019594122</v>
      </c>
    </row>
    <row r="430" s="4" customFormat="1" ht="15" customHeight="1" spans="1:27">
      <c r="A430" s="6" t="s">
        <v>111</v>
      </c>
      <c r="B430" s="1">
        <v>48</v>
      </c>
      <c r="C430" s="1">
        <v>1.2282</v>
      </c>
      <c r="D430" s="1">
        <v>14.373</v>
      </c>
      <c r="E430" s="1">
        <v>0.4415</v>
      </c>
      <c r="F430" s="1">
        <v>1.929</v>
      </c>
      <c r="G430" s="1">
        <f t="shared" si="30"/>
        <v>0.0793591287391193</v>
      </c>
      <c r="X430" s="4">
        <f t="shared" si="31"/>
        <v>0.0711392609254499</v>
      </c>
      <c r="Y430" s="4">
        <f t="shared" si="32"/>
        <v>-0.00618237898686677</v>
      </c>
      <c r="Z430" s="4">
        <f t="shared" si="34"/>
        <v>0.0217638983050847</v>
      </c>
      <c r="AA430" s="4">
        <f t="shared" si="33"/>
        <v>-0.00736165150454864</v>
      </c>
    </row>
    <row r="431" s="4" customFormat="1" ht="15" customHeight="1" spans="1:27">
      <c r="A431" s="6" t="s">
        <v>111</v>
      </c>
      <c r="B431" s="1">
        <v>48</v>
      </c>
      <c r="C431" s="1">
        <v>1.2032</v>
      </c>
      <c r="D431" s="1">
        <v>13.839</v>
      </c>
      <c r="E431" s="1">
        <v>0.4202</v>
      </c>
      <c r="F431" s="1">
        <v>1.678</v>
      </c>
      <c r="G431" s="1">
        <f t="shared" si="30"/>
        <v>0.0692036854117747</v>
      </c>
      <c r="W431" s="8"/>
      <c r="X431" s="4">
        <f t="shared" si="31"/>
        <v>0.0520116902313626</v>
      </c>
      <c r="Y431" s="4">
        <f t="shared" si="32"/>
        <v>0.00828471294559098</v>
      </c>
      <c r="Z431" s="4">
        <f t="shared" si="34"/>
        <v>0.00588817796610171</v>
      </c>
      <c r="AA431" s="4">
        <f t="shared" si="33"/>
        <v>0.00301910426871938</v>
      </c>
    </row>
    <row r="432" s="4" customFormat="1" ht="15" customHeight="1" spans="1:27">
      <c r="A432" s="6" t="s">
        <v>111</v>
      </c>
      <c r="B432" s="1">
        <v>48</v>
      </c>
      <c r="C432" s="1">
        <v>1.1592</v>
      </c>
      <c r="D432" s="1">
        <v>14.684</v>
      </c>
      <c r="E432" s="1">
        <v>0.4075</v>
      </c>
      <c r="F432" s="1">
        <v>1.834</v>
      </c>
      <c r="G432" s="1">
        <f t="shared" si="30"/>
        <v>-0.00327111148605484</v>
      </c>
      <c r="W432" s="8"/>
      <c r="X432" s="4">
        <f t="shared" si="31"/>
        <v>0.0183471658097687</v>
      </c>
      <c r="Y432" s="4">
        <f t="shared" si="32"/>
        <v>-0.0146079699812383</v>
      </c>
      <c r="Z432" s="4">
        <f t="shared" si="34"/>
        <v>-0.00357762711864409</v>
      </c>
      <c r="AA432" s="4">
        <f t="shared" si="33"/>
        <v>-0.00343268019594123</v>
      </c>
    </row>
    <row r="433" s="4" customFormat="1" ht="15" customHeight="1" spans="1:27">
      <c r="A433" s="6" t="s">
        <v>113</v>
      </c>
      <c r="B433" s="1">
        <v>49</v>
      </c>
      <c r="C433" s="1">
        <v>1.2516</v>
      </c>
      <c r="D433" s="1">
        <v>15.47</v>
      </c>
      <c r="E433" s="1">
        <v>0.4439</v>
      </c>
      <c r="F433" s="1">
        <v>1.856</v>
      </c>
      <c r="G433" s="1">
        <f t="shared" si="30"/>
        <v>0.0723506028306351</v>
      </c>
      <c r="W433" s="8"/>
      <c r="X433" s="4">
        <f t="shared" si="31"/>
        <v>0.0890426670951158</v>
      </c>
      <c r="Y433" s="4">
        <f t="shared" si="32"/>
        <v>-0.0359022288930582</v>
      </c>
      <c r="Z433" s="4">
        <f t="shared" si="34"/>
        <v>0.0235527118644068</v>
      </c>
      <c r="AA433" s="4">
        <f t="shared" si="33"/>
        <v>-0.00434254723582926</v>
      </c>
    </row>
    <row r="434" s="4" customFormat="1" ht="15" customHeight="1" spans="1:27">
      <c r="A434" s="6" t="s">
        <v>113</v>
      </c>
      <c r="B434" s="1">
        <v>49</v>
      </c>
      <c r="C434" s="1">
        <v>1.1691</v>
      </c>
      <c r="D434" s="1">
        <v>16.066</v>
      </c>
      <c r="E434" s="1">
        <v>0.4177</v>
      </c>
      <c r="F434" s="1">
        <v>1.955</v>
      </c>
      <c r="G434" s="1">
        <f t="shared" si="30"/>
        <v>-0.0305394552401221</v>
      </c>
      <c r="W434" s="8"/>
      <c r="X434" s="4">
        <f t="shared" si="31"/>
        <v>0.0259216838046273</v>
      </c>
      <c r="Y434" s="4">
        <f t="shared" si="32"/>
        <v>-0.0520490206378987</v>
      </c>
      <c r="Z434" s="4">
        <f t="shared" si="34"/>
        <v>0.00402483050847459</v>
      </c>
      <c r="AA434" s="4">
        <f t="shared" si="33"/>
        <v>-0.00843694891532541</v>
      </c>
    </row>
    <row r="435" s="4" customFormat="1" ht="15" customHeight="1" spans="1:27">
      <c r="A435" s="6" t="s">
        <v>113</v>
      </c>
      <c r="B435" s="1">
        <v>49</v>
      </c>
      <c r="C435" s="1">
        <v>1.3399</v>
      </c>
      <c r="D435" s="1">
        <v>14.879</v>
      </c>
      <c r="E435" s="1">
        <v>0.4395</v>
      </c>
      <c r="F435" s="1">
        <v>1.882</v>
      </c>
      <c r="G435" s="1">
        <f t="shared" si="30"/>
        <v>0.151565725668503</v>
      </c>
      <c r="W435" s="8"/>
      <c r="X435" s="4">
        <f t="shared" si="31"/>
        <v>0.156601246786633</v>
      </c>
      <c r="Y435" s="4">
        <f t="shared" si="32"/>
        <v>-0.0198908968105066</v>
      </c>
      <c r="Z435" s="4">
        <f t="shared" si="34"/>
        <v>0.0202732203389831</v>
      </c>
      <c r="AA435" s="4">
        <f t="shared" si="33"/>
        <v>-0.00541784464660602</v>
      </c>
    </row>
    <row r="436" s="4" customFormat="1" ht="15" customHeight="1" spans="1:27">
      <c r="A436" s="6" t="s">
        <v>113</v>
      </c>
      <c r="B436" s="1">
        <v>49</v>
      </c>
      <c r="C436" s="1">
        <v>1.238</v>
      </c>
      <c r="D436" s="1">
        <v>16.364</v>
      </c>
      <c r="E436" s="1">
        <v>0.3753</v>
      </c>
      <c r="F436" s="1">
        <v>2.131</v>
      </c>
      <c r="G436" s="1">
        <f t="shared" si="30"/>
        <v>-0.0247785754800978</v>
      </c>
      <c r="W436" s="8"/>
      <c r="X436" s="4">
        <f t="shared" si="31"/>
        <v>0.0786372686375322</v>
      </c>
      <c r="Y436" s="4">
        <f t="shared" si="32"/>
        <v>-0.060122416510319</v>
      </c>
      <c r="Z436" s="4">
        <f t="shared" si="34"/>
        <v>-0.0275775423728813</v>
      </c>
      <c r="AA436" s="4">
        <f t="shared" si="33"/>
        <v>-0.0157158852344297</v>
      </c>
    </row>
    <row r="437" s="4" customFormat="1" ht="15" customHeight="1" spans="1:27">
      <c r="A437" s="6" t="s">
        <v>113</v>
      </c>
      <c r="B437" s="1">
        <v>49</v>
      </c>
      <c r="C437" s="1">
        <v>1.2571</v>
      </c>
      <c r="D437" s="1">
        <v>16.011</v>
      </c>
      <c r="E437" s="1">
        <v>0.4504</v>
      </c>
      <c r="F437" s="1">
        <v>2.132</v>
      </c>
      <c r="G437" s="1">
        <f t="shared" si="30"/>
        <v>0.0553319407221801</v>
      </c>
      <c r="W437" s="8"/>
      <c r="X437" s="4">
        <f t="shared" si="31"/>
        <v>0.0932507326478151</v>
      </c>
      <c r="Y437" s="4">
        <f t="shared" si="32"/>
        <v>-0.0505589643527204</v>
      </c>
      <c r="Z437" s="4">
        <f t="shared" si="34"/>
        <v>0.0283974152542373</v>
      </c>
      <c r="AA437" s="4">
        <f t="shared" si="33"/>
        <v>-0.0157572428271519</v>
      </c>
    </row>
    <row r="438" s="4" customFormat="1" ht="15" customHeight="1" spans="1:27">
      <c r="A438" s="6" t="s">
        <v>113</v>
      </c>
      <c r="B438" s="1">
        <v>49</v>
      </c>
      <c r="C438" s="1">
        <v>1.2229</v>
      </c>
      <c r="D438" s="1">
        <v>15.72</v>
      </c>
      <c r="E438" s="1">
        <v>0.3832</v>
      </c>
      <c r="F438" s="1">
        <v>2.114</v>
      </c>
      <c r="G438" s="1">
        <f t="shared" si="30"/>
        <v>-0.0122931666341334</v>
      </c>
      <c r="H438" s="7"/>
      <c r="W438" s="8" t="s">
        <v>114</v>
      </c>
      <c r="X438" s="4">
        <f t="shared" si="31"/>
        <v>0.0670842159383035</v>
      </c>
      <c r="Y438" s="4">
        <f t="shared" si="32"/>
        <v>-0.0426752120075047</v>
      </c>
      <c r="Z438" s="4">
        <f t="shared" si="34"/>
        <v>-0.0216893644067797</v>
      </c>
      <c r="AA438" s="4">
        <f t="shared" si="33"/>
        <v>-0.0150128061581526</v>
      </c>
    </row>
    <row r="439" s="4" customFormat="1" ht="15" customHeight="1" spans="1:27">
      <c r="A439" s="6" t="s">
        <v>113</v>
      </c>
      <c r="B439" s="1">
        <v>49</v>
      </c>
      <c r="C439" s="1">
        <v>1.3298</v>
      </c>
      <c r="D439" s="1">
        <v>15.833</v>
      </c>
      <c r="E439" s="1">
        <v>0.4757</v>
      </c>
      <c r="F439" s="1">
        <v>2.071</v>
      </c>
      <c r="G439" s="1">
        <f t="shared" si="30"/>
        <v>0.137157169705312</v>
      </c>
      <c r="W439" s="8"/>
      <c r="X439" s="4">
        <f t="shared" si="31"/>
        <v>0.148873708226221</v>
      </c>
      <c r="Y439" s="4">
        <f t="shared" si="32"/>
        <v>-0.0457366003752345</v>
      </c>
      <c r="Z439" s="4">
        <f t="shared" si="34"/>
        <v>0.0472544915254237</v>
      </c>
      <c r="AA439" s="4">
        <f t="shared" si="33"/>
        <v>-0.0132344296710987</v>
      </c>
    </row>
    <row r="440" s="4" customFormat="1" ht="15" customHeight="1" spans="1:27">
      <c r="A440" s="6" t="s">
        <v>113</v>
      </c>
      <c r="B440" s="1">
        <v>49</v>
      </c>
      <c r="C440" s="1">
        <v>1.1994</v>
      </c>
      <c r="D440" s="1">
        <v>16</v>
      </c>
      <c r="E440" s="1">
        <v>0.4127</v>
      </c>
      <c r="F440" s="1">
        <v>2.139</v>
      </c>
      <c r="G440" s="1">
        <f t="shared" si="30"/>
        <v>-0.0169052639928103</v>
      </c>
      <c r="W440" s="8"/>
      <c r="X440" s="4">
        <f t="shared" si="31"/>
        <v>0.0491042994858613</v>
      </c>
      <c r="Y440" s="4">
        <f t="shared" si="32"/>
        <v>-0.0502609530956848</v>
      </c>
      <c r="Z440" s="4">
        <f t="shared" si="34"/>
        <v>0.000298135593220348</v>
      </c>
      <c r="AA440" s="4">
        <f t="shared" si="33"/>
        <v>-0.0160467459762071</v>
      </c>
    </row>
    <row r="441" s="4" customFormat="1" ht="15" customHeight="1" spans="1:27">
      <c r="A441" s="6" t="s">
        <v>113</v>
      </c>
      <c r="B441" s="1">
        <v>49</v>
      </c>
      <c r="C441" s="1">
        <v>1.2165</v>
      </c>
      <c r="D441" s="1">
        <v>15.623</v>
      </c>
      <c r="E441" s="1">
        <v>0.4425</v>
      </c>
      <c r="F441" s="1">
        <v>2.033</v>
      </c>
      <c r="G441" s="1">
        <f t="shared" si="30"/>
        <v>0.0329866594219975</v>
      </c>
      <c r="W441" s="8"/>
      <c r="X441" s="4">
        <f t="shared" si="31"/>
        <v>0.062187557840617</v>
      </c>
      <c r="Y441" s="4">
        <f t="shared" si="32"/>
        <v>-0.0400472945590994</v>
      </c>
      <c r="Z441" s="4">
        <f t="shared" si="34"/>
        <v>0.0225092372881356</v>
      </c>
      <c r="AA441" s="4">
        <f t="shared" si="33"/>
        <v>-0.0116628411476557</v>
      </c>
    </row>
    <row r="442" s="4" customFormat="1" ht="15" customHeight="1" spans="1:27">
      <c r="A442" s="6" t="s">
        <v>115</v>
      </c>
      <c r="B442" s="1">
        <v>50</v>
      </c>
      <c r="C442" s="1">
        <v>1.2223</v>
      </c>
      <c r="D442" s="1">
        <v>12.736</v>
      </c>
      <c r="E442" s="1">
        <v>0.3618</v>
      </c>
      <c r="F442" s="1">
        <v>1.712</v>
      </c>
      <c r="G442" s="1">
        <f t="shared" si="30"/>
        <v>0.0687655961602717</v>
      </c>
      <c r="W442" s="8"/>
      <c r="X442" s="4">
        <f t="shared" si="31"/>
        <v>0.0666251542416453</v>
      </c>
      <c r="Y442" s="4">
        <f t="shared" si="32"/>
        <v>0.0381671144465291</v>
      </c>
      <c r="Z442" s="4">
        <f t="shared" si="34"/>
        <v>-0.0376396186440678</v>
      </c>
      <c r="AA442" s="4">
        <f t="shared" si="33"/>
        <v>0.00161294611616515</v>
      </c>
    </row>
    <row r="443" s="4" customFormat="1" ht="15" customHeight="1" spans="1:27">
      <c r="A443" s="6" t="s">
        <v>115</v>
      </c>
      <c r="B443" s="1">
        <v>50</v>
      </c>
      <c r="C443" s="1">
        <v>1.2227</v>
      </c>
      <c r="D443" s="1">
        <v>13.455</v>
      </c>
      <c r="E443" s="1">
        <v>0.3813</v>
      </c>
      <c r="F443" s="1">
        <v>1.77</v>
      </c>
      <c r="G443" s="1">
        <f t="shared" si="30"/>
        <v>0.0617279076458337</v>
      </c>
      <c r="W443" s="8"/>
      <c r="X443" s="4">
        <f t="shared" si="31"/>
        <v>0.0669311953727506</v>
      </c>
      <c r="Y443" s="4">
        <f t="shared" si="32"/>
        <v>0.0186880150093809</v>
      </c>
      <c r="Z443" s="4">
        <f t="shared" si="34"/>
        <v>-0.0231055084745763</v>
      </c>
      <c r="AA443" s="4">
        <f t="shared" si="33"/>
        <v>-0.000785794261721489</v>
      </c>
    </row>
    <row r="444" s="4" customFormat="1" ht="15" customHeight="1" spans="1:27">
      <c r="A444" s="6" t="s">
        <v>115</v>
      </c>
      <c r="B444" s="1">
        <v>50</v>
      </c>
      <c r="C444" s="1">
        <v>1.2708</v>
      </c>
      <c r="D444" s="1">
        <v>14.288</v>
      </c>
      <c r="E444" s="1">
        <v>0.4</v>
      </c>
      <c r="F444" s="1">
        <v>1.783</v>
      </c>
      <c r="G444" s="1">
        <f t="shared" si="30"/>
        <v>0.0893619642015846</v>
      </c>
      <c r="W444" s="8"/>
      <c r="X444" s="4">
        <f t="shared" si="31"/>
        <v>0.103732641388175</v>
      </c>
      <c r="Y444" s="4">
        <f t="shared" si="32"/>
        <v>-0.00387956472795498</v>
      </c>
      <c r="Z444" s="4">
        <f t="shared" si="34"/>
        <v>-0.00916766949152541</v>
      </c>
      <c r="AA444" s="4">
        <f t="shared" si="33"/>
        <v>-0.00132344296710987</v>
      </c>
    </row>
    <row r="445" s="4" customFormat="1" ht="15" customHeight="1" spans="1:27">
      <c r="A445" s="6" t="s">
        <v>115</v>
      </c>
      <c r="B445" s="1">
        <v>50</v>
      </c>
      <c r="C445" s="1">
        <v>1.1555</v>
      </c>
      <c r="D445" s="1">
        <v>14.492</v>
      </c>
      <c r="E445" s="1">
        <v>0.3615</v>
      </c>
      <c r="F445" s="1">
        <v>1.785</v>
      </c>
      <c r="G445" s="1">
        <f t="shared" si="30"/>
        <v>-0.0331594120938369</v>
      </c>
      <c r="W445" s="8"/>
      <c r="X445" s="4">
        <f t="shared" si="31"/>
        <v>0.0155162853470438</v>
      </c>
      <c r="Y445" s="4">
        <f t="shared" si="32"/>
        <v>-0.00940631894934336</v>
      </c>
      <c r="Z445" s="4">
        <f t="shared" si="34"/>
        <v>-0.0378632203389831</v>
      </c>
      <c r="AA445" s="4">
        <f t="shared" si="33"/>
        <v>-0.00140615815255424</v>
      </c>
    </row>
    <row r="446" s="4" customFormat="1" ht="15" customHeight="1" spans="1:27">
      <c r="A446" s="6" t="s">
        <v>115</v>
      </c>
      <c r="B446" s="1">
        <v>50</v>
      </c>
      <c r="C446" s="1">
        <v>1.2297</v>
      </c>
      <c r="D446" s="1">
        <v>12.789</v>
      </c>
      <c r="E446" s="1">
        <v>0.3813</v>
      </c>
      <c r="F446" s="1">
        <v>1.687</v>
      </c>
      <c r="G446" s="1">
        <f t="shared" si="30"/>
        <v>0.0885595346530051</v>
      </c>
      <c r="W446" s="8"/>
      <c r="X446" s="4">
        <f t="shared" si="31"/>
        <v>0.0722869151670952</v>
      </c>
      <c r="Y446" s="4">
        <f t="shared" si="32"/>
        <v>0.0367312420262664</v>
      </c>
      <c r="Z446" s="4">
        <f t="shared" si="34"/>
        <v>-0.0231055084745763</v>
      </c>
      <c r="AA446" s="4">
        <f t="shared" si="33"/>
        <v>0.00264688593421973</v>
      </c>
    </row>
    <row r="447" s="4" customFormat="1" ht="15" customHeight="1" spans="1:27">
      <c r="A447" s="6" t="s">
        <v>115</v>
      </c>
      <c r="B447" s="1">
        <v>50</v>
      </c>
      <c r="C447" s="1">
        <v>1.18</v>
      </c>
      <c r="D447" s="1">
        <v>14.522</v>
      </c>
      <c r="E447" s="1">
        <v>0.3737</v>
      </c>
      <c r="F447" s="1">
        <v>1.768</v>
      </c>
      <c r="G447" s="1">
        <f t="shared" si="30"/>
        <v>-0.0054309361178674</v>
      </c>
      <c r="H447" s="7"/>
      <c r="W447" s="8" t="s">
        <v>116</v>
      </c>
      <c r="X447" s="4">
        <f t="shared" si="31"/>
        <v>0.0342613046272494</v>
      </c>
      <c r="Y447" s="4">
        <f t="shared" si="32"/>
        <v>-0.0102190769230769</v>
      </c>
      <c r="Z447" s="4">
        <f t="shared" si="34"/>
        <v>-0.0287700847457627</v>
      </c>
      <c r="AA447" s="4">
        <f t="shared" si="33"/>
        <v>-0.000703079076277122</v>
      </c>
    </row>
    <row r="448" s="4" customFormat="1" ht="15" customHeight="1" spans="1:27">
      <c r="A448" s="6" t="s">
        <v>115</v>
      </c>
      <c r="B448" s="1">
        <v>50</v>
      </c>
      <c r="C448" s="1">
        <v>1.2612</v>
      </c>
      <c r="D448" s="1">
        <v>12.416</v>
      </c>
      <c r="E448" s="1">
        <v>0.4188</v>
      </c>
      <c r="F448" s="1">
        <v>1.617</v>
      </c>
      <c r="G448" s="1">
        <f t="shared" si="30"/>
        <v>0.153610807889269</v>
      </c>
      <c r="W448" s="8"/>
      <c r="X448" s="4">
        <f t="shared" si="31"/>
        <v>0.0963876542416454</v>
      </c>
      <c r="Y448" s="4">
        <f t="shared" si="32"/>
        <v>0.0468365328330206</v>
      </c>
      <c r="Z448" s="4">
        <f t="shared" si="34"/>
        <v>0.00484470338983051</v>
      </c>
      <c r="AA448" s="4">
        <f t="shared" si="33"/>
        <v>0.00554191742477256</v>
      </c>
    </row>
    <row r="449" s="4" customFormat="1" ht="15" customHeight="1" spans="1:27">
      <c r="A449" s="6" t="s">
        <v>115</v>
      </c>
      <c r="B449" s="1">
        <v>50</v>
      </c>
      <c r="C449" s="1">
        <v>1.1826</v>
      </c>
      <c r="D449" s="1">
        <v>12.774</v>
      </c>
      <c r="E449" s="1">
        <v>0.3772</v>
      </c>
      <c r="F449" s="1">
        <v>1.668</v>
      </c>
      <c r="G449" s="1">
        <f t="shared" si="30"/>
        <v>0.0506594748834243</v>
      </c>
      <c r="W449" s="8"/>
      <c r="X449" s="4">
        <f t="shared" si="31"/>
        <v>0.0362505719794346</v>
      </c>
      <c r="Y449" s="4">
        <f t="shared" si="32"/>
        <v>0.0371376210131332</v>
      </c>
      <c r="Z449" s="4">
        <f t="shared" si="34"/>
        <v>-0.0261613983050848</v>
      </c>
      <c r="AA449" s="4">
        <f t="shared" si="33"/>
        <v>0.00343268019594122</v>
      </c>
    </row>
    <row r="450" s="4" customFormat="1" ht="15" customHeight="1" spans="1:27">
      <c r="A450" s="6" t="s">
        <v>115</v>
      </c>
      <c r="B450" s="1">
        <v>50</v>
      </c>
      <c r="C450" s="1">
        <v>1.11</v>
      </c>
      <c r="D450" s="1">
        <v>14.027</v>
      </c>
      <c r="E450" s="1">
        <v>0.414</v>
      </c>
      <c r="F450" s="1">
        <v>1.752</v>
      </c>
      <c r="G450" s="1">
        <f t="shared" ref="G450:G513" si="35">SUM(X450,Y450,Z450,AA450)</f>
        <v>-0.0148787449942038</v>
      </c>
      <c r="W450" s="8"/>
      <c r="X450" s="4">
        <f t="shared" ref="X450:X513" si="36">(C450-S$2)/N$2*I$2</f>
        <v>-0.0192958933161952</v>
      </c>
      <c r="Y450" s="4">
        <f t="shared" ref="Y450:Y513" si="37">(T$2-D450)/O$2*J$2</f>
        <v>0.00319142964352723</v>
      </c>
      <c r="Z450" s="4">
        <f t="shared" si="34"/>
        <v>0.00126707627118643</v>
      </c>
      <c r="AA450" s="4">
        <f t="shared" ref="AA450:AA513" si="38">(V$2-F450)/Q$2*L$2</f>
        <v>-4.1357592722188e-5</v>
      </c>
    </row>
    <row r="451" s="4" customFormat="1" ht="15" customHeight="1" spans="1:27">
      <c r="A451" s="6" t="s">
        <v>117</v>
      </c>
      <c r="B451" s="1">
        <v>51</v>
      </c>
      <c r="C451" s="1">
        <v>1.2104</v>
      </c>
      <c r="D451" s="1">
        <v>18.295</v>
      </c>
      <c r="E451" s="1">
        <v>0.3476</v>
      </c>
      <c r="F451" s="1">
        <v>2.258</v>
      </c>
      <c r="G451" s="1">
        <f t="shared" si="35"/>
        <v>-0.124108239208581</v>
      </c>
      <c r="W451" s="8"/>
      <c r="X451" s="4">
        <f t="shared" si="36"/>
        <v>0.0575204305912597</v>
      </c>
      <c r="Y451" s="4">
        <f t="shared" si="37"/>
        <v>-0.112436938086304</v>
      </c>
      <c r="Z451" s="4">
        <f t="shared" si="34"/>
        <v>-0.0482234322033898</v>
      </c>
      <c r="AA451" s="4">
        <f t="shared" si="38"/>
        <v>-0.020968299510147</v>
      </c>
    </row>
    <row r="452" s="4" customFormat="1" ht="15" customHeight="1" spans="1:27">
      <c r="A452" s="6" t="s">
        <v>117</v>
      </c>
      <c r="B452" s="1">
        <v>51</v>
      </c>
      <c r="C452" s="1">
        <v>1.2941</v>
      </c>
      <c r="D452" s="1">
        <v>17.597</v>
      </c>
      <c r="E452" s="1">
        <v>0.4765</v>
      </c>
      <c r="F452" s="1">
        <v>2.05</v>
      </c>
      <c r="G452" s="1">
        <f t="shared" si="35"/>
        <v>0.0635176105322267</v>
      </c>
      <c r="W452" s="8"/>
      <c r="X452" s="4">
        <f t="shared" si="36"/>
        <v>0.121559537275064</v>
      </c>
      <c r="Y452" s="4">
        <f t="shared" si="37"/>
        <v>-0.0935267692307693</v>
      </c>
      <c r="Z452" s="4">
        <f t="shared" si="34"/>
        <v>0.0478507627118644</v>
      </c>
      <c r="AA452" s="4">
        <f t="shared" si="38"/>
        <v>-0.0123659202239328</v>
      </c>
    </row>
    <row r="453" s="4" customFormat="1" ht="15" customHeight="1" spans="1:27">
      <c r="A453" s="6" t="s">
        <v>117</v>
      </c>
      <c r="B453" s="1">
        <v>51</v>
      </c>
      <c r="C453" s="1">
        <v>1.3282</v>
      </c>
      <c r="D453" s="1">
        <v>14.782</v>
      </c>
      <c r="E453" s="1">
        <v>0.4681</v>
      </c>
      <c r="F453" s="1">
        <v>1.892</v>
      </c>
      <c r="G453" s="1">
        <f t="shared" si="35"/>
        <v>0.166145059020108</v>
      </c>
      <c r="W453" s="8"/>
      <c r="X453" s="4">
        <f t="shared" si="36"/>
        <v>0.1476495437018</v>
      </c>
      <c r="Y453" s="4">
        <f t="shared" si="37"/>
        <v>-0.0172629793621013</v>
      </c>
      <c r="Z453" s="4">
        <f t="shared" si="34"/>
        <v>0.0415899152542373</v>
      </c>
      <c r="AA453" s="4">
        <f t="shared" si="38"/>
        <v>-0.00583142057382785</v>
      </c>
    </row>
    <row r="454" s="4" customFormat="1" ht="15" customHeight="1" spans="1:27">
      <c r="A454" s="6" t="s">
        <v>117</v>
      </c>
      <c r="B454" s="1">
        <v>51</v>
      </c>
      <c r="C454" s="1">
        <v>1.2785</v>
      </c>
      <c r="D454" s="1">
        <v>16.671</v>
      </c>
      <c r="E454" s="1">
        <v>0.4368</v>
      </c>
      <c r="F454" s="1">
        <v>1.977</v>
      </c>
      <c r="G454" s="1">
        <f t="shared" si="35"/>
        <v>0.0500982825166268</v>
      </c>
      <c r="W454" s="8"/>
      <c r="X454" s="4">
        <f t="shared" si="36"/>
        <v>0.109623933161954</v>
      </c>
      <c r="Y454" s="4">
        <f t="shared" si="37"/>
        <v>-0.0684396397748593</v>
      </c>
      <c r="Z454" s="4">
        <f t="shared" si="34"/>
        <v>0.0182608050847458</v>
      </c>
      <c r="AA454" s="4">
        <f t="shared" si="38"/>
        <v>-0.00934681595521344</v>
      </c>
    </row>
    <row r="455" s="4" customFormat="1" ht="15" customHeight="1" spans="1:27">
      <c r="A455" s="6" t="s">
        <v>117</v>
      </c>
      <c r="B455" s="1">
        <v>51</v>
      </c>
      <c r="C455" s="1">
        <v>1.2902</v>
      </c>
      <c r="D455" s="1">
        <v>15.597</v>
      </c>
      <c r="E455" s="1">
        <v>0.4272</v>
      </c>
      <c r="F455" s="1">
        <v>1.972</v>
      </c>
      <c r="G455" s="1">
        <f t="shared" si="35"/>
        <v>0.0811982547874449</v>
      </c>
      <c r="W455" s="8"/>
      <c r="X455" s="4">
        <f t="shared" si="36"/>
        <v>0.118575636246787</v>
      </c>
      <c r="Y455" s="4">
        <f t="shared" si="37"/>
        <v>-0.039342904315197</v>
      </c>
      <c r="Z455" s="4">
        <f t="shared" si="34"/>
        <v>0.0111055508474576</v>
      </c>
      <c r="AA455" s="4">
        <f t="shared" si="38"/>
        <v>-0.00914002799160252</v>
      </c>
    </row>
    <row r="456" s="4" customFormat="1" ht="15" customHeight="1" spans="1:27">
      <c r="A456" s="6" t="s">
        <v>117</v>
      </c>
      <c r="B456" s="1">
        <v>51</v>
      </c>
      <c r="C456" s="1">
        <v>1.244</v>
      </c>
      <c r="D456" s="1">
        <v>17.149</v>
      </c>
      <c r="E456" s="1">
        <v>0.3906</v>
      </c>
      <c r="F456" s="1">
        <v>2.142</v>
      </c>
      <c r="G456" s="1">
        <f t="shared" si="35"/>
        <v>-0.030506372572145</v>
      </c>
      <c r="H456" s="7"/>
      <c r="W456" s="8" t="s">
        <v>118</v>
      </c>
      <c r="X456" s="4">
        <f t="shared" si="36"/>
        <v>0.0832278856041132</v>
      </c>
      <c r="Y456" s="4">
        <f t="shared" si="37"/>
        <v>-0.0813895834896811</v>
      </c>
      <c r="Z456" s="4">
        <f t="shared" si="34"/>
        <v>-0.0161738559322034</v>
      </c>
      <c r="AA456" s="4">
        <f t="shared" si="38"/>
        <v>-0.0161708187543737</v>
      </c>
    </row>
    <row r="457" s="4" customFormat="1" ht="15" customHeight="1" spans="1:27">
      <c r="A457" s="6" t="s">
        <v>117</v>
      </c>
      <c r="B457" s="1">
        <v>51</v>
      </c>
      <c r="C457" s="1">
        <v>1.3005</v>
      </c>
      <c r="D457" s="1">
        <v>14.863</v>
      </c>
      <c r="E457" s="1">
        <v>0.4078</v>
      </c>
      <c r="F457" s="1">
        <v>1.954</v>
      </c>
      <c r="G457" s="1">
        <f t="shared" si="35"/>
        <v>0.0952491527352367</v>
      </c>
      <c r="W457" s="8"/>
      <c r="X457" s="4">
        <f t="shared" si="36"/>
        <v>0.126456195372751</v>
      </c>
      <c r="Y457" s="4">
        <f t="shared" si="37"/>
        <v>-0.019457425891182</v>
      </c>
      <c r="Z457" s="4">
        <f t="shared" si="34"/>
        <v>-0.00335402542372882</v>
      </c>
      <c r="AA457" s="4">
        <f t="shared" si="38"/>
        <v>-0.00839559132260322</v>
      </c>
    </row>
    <row r="458" s="4" customFormat="1" ht="15" customHeight="1" spans="1:27">
      <c r="A458" s="6" t="s">
        <v>117</v>
      </c>
      <c r="B458" s="1">
        <v>51</v>
      </c>
      <c r="C458" s="1">
        <v>1.3084</v>
      </c>
      <c r="D458" s="1">
        <v>14.318</v>
      </c>
      <c r="E458" s="1">
        <v>0.4434</v>
      </c>
      <c r="F458" s="1">
        <v>1.866</v>
      </c>
      <c r="G458" s="1">
        <f t="shared" si="35"/>
        <v>0.146232104220224</v>
      </c>
      <c r="W458" s="8"/>
      <c r="X458" s="4">
        <f t="shared" si="36"/>
        <v>0.132500507712082</v>
      </c>
      <c r="Y458" s="4">
        <f t="shared" si="37"/>
        <v>-0.00469232270168854</v>
      </c>
      <c r="Z458" s="4">
        <f t="shared" si="34"/>
        <v>0.0231800423728814</v>
      </c>
      <c r="AA458" s="4">
        <f t="shared" si="38"/>
        <v>-0.00475612316305109</v>
      </c>
    </row>
    <row r="459" s="4" customFormat="1" ht="15" customHeight="1" spans="1:27">
      <c r="A459" s="6" t="s">
        <v>117</v>
      </c>
      <c r="B459" s="1">
        <v>51</v>
      </c>
      <c r="C459" s="1">
        <v>1.2292</v>
      </c>
      <c r="D459" s="1">
        <v>15.228</v>
      </c>
      <c r="E459" s="1">
        <v>0.4634</v>
      </c>
      <c r="F459" s="1">
        <v>1.995</v>
      </c>
      <c r="G459" s="1">
        <f t="shared" si="35"/>
        <v>0.0705539519246251</v>
      </c>
      <c r="W459" s="8"/>
      <c r="X459" s="4">
        <f t="shared" si="36"/>
        <v>0.0719043637532135</v>
      </c>
      <c r="Y459" s="4">
        <f t="shared" si="37"/>
        <v>-0.0293459812382739</v>
      </c>
      <c r="Z459" s="4">
        <f t="shared" si="34"/>
        <v>0.0380868220338983</v>
      </c>
      <c r="AA459" s="4">
        <f t="shared" si="38"/>
        <v>-0.0100912526242127</v>
      </c>
    </row>
    <row r="460" s="4" customFormat="1" ht="15" customHeight="1" spans="1:27">
      <c r="A460" s="6" t="s">
        <v>119</v>
      </c>
      <c r="B460" s="1">
        <v>52</v>
      </c>
      <c r="C460" s="1">
        <v>1.2265</v>
      </c>
      <c r="D460" s="1">
        <v>13.481</v>
      </c>
      <c r="E460" s="1">
        <v>0.4851</v>
      </c>
      <c r="F460" s="1">
        <v>1.71</v>
      </c>
      <c r="G460" s="1">
        <f t="shared" si="35"/>
        <v>0.143778550151442</v>
      </c>
      <c r="W460" s="8"/>
      <c r="X460" s="4">
        <f t="shared" si="36"/>
        <v>0.0698385861182519</v>
      </c>
      <c r="Y460" s="4">
        <f t="shared" si="37"/>
        <v>0.0179836247654784</v>
      </c>
      <c r="Z460" s="4">
        <f t="shared" si="34"/>
        <v>0.0542606779661017</v>
      </c>
      <c r="AA460" s="4">
        <f t="shared" si="38"/>
        <v>0.00169566130160951</v>
      </c>
    </row>
    <row r="461" s="4" customFormat="1" ht="15" customHeight="1" spans="1:27">
      <c r="A461" s="6" t="s">
        <v>119</v>
      </c>
      <c r="B461" s="1">
        <v>52</v>
      </c>
      <c r="C461" s="1">
        <v>1.3505</v>
      </c>
      <c r="D461" s="1">
        <v>14.144</v>
      </c>
      <c r="E461" s="1">
        <v>0.4922</v>
      </c>
      <c r="F461" s="1">
        <v>1.847</v>
      </c>
      <c r="G461" s="1">
        <f t="shared" si="35"/>
        <v>0.220315266151325</v>
      </c>
      <c r="W461" s="8"/>
      <c r="X461" s="4">
        <f t="shared" si="36"/>
        <v>0.164711336760926</v>
      </c>
      <c r="Y461" s="4">
        <f t="shared" si="37"/>
        <v>2.16735459662265e-5</v>
      </c>
      <c r="Z461" s="4">
        <f t="shared" si="34"/>
        <v>0.0595525847457627</v>
      </c>
      <c r="AA461" s="4">
        <f t="shared" si="38"/>
        <v>-0.0039703289013296</v>
      </c>
    </row>
    <row r="462" s="4" customFormat="1" ht="15" customHeight="1" spans="1:27">
      <c r="A462" s="6" t="s">
        <v>119</v>
      </c>
      <c r="B462" s="1">
        <v>52</v>
      </c>
      <c r="C462" s="1">
        <v>1.2492</v>
      </c>
      <c r="D462" s="1">
        <v>11.606</v>
      </c>
      <c r="E462" s="1">
        <v>0.4423</v>
      </c>
      <c r="F462" s="1">
        <v>1.526</v>
      </c>
      <c r="G462" s="1">
        <f t="shared" si="35"/>
        <v>0.187653046286328</v>
      </c>
      <c r="W462" s="8"/>
      <c r="X462" s="4">
        <f t="shared" si="36"/>
        <v>0.0872064203084834</v>
      </c>
      <c r="Y462" s="4">
        <f t="shared" si="37"/>
        <v>0.0687809981238274</v>
      </c>
      <c r="Z462" s="4">
        <f t="shared" si="34"/>
        <v>0.0223601694915254</v>
      </c>
      <c r="AA462" s="4">
        <f t="shared" si="38"/>
        <v>0.00930545836249125</v>
      </c>
    </row>
    <row r="463" s="4" customFormat="1" ht="15" customHeight="1" spans="1:27">
      <c r="A463" s="6" t="s">
        <v>119</v>
      </c>
      <c r="B463" s="1">
        <v>52</v>
      </c>
      <c r="C463" s="1">
        <v>1.3575</v>
      </c>
      <c r="D463" s="1">
        <v>12.11</v>
      </c>
      <c r="E463" s="1">
        <v>0.482</v>
      </c>
      <c r="F463" s="1">
        <v>1.502</v>
      </c>
      <c r="G463" s="1">
        <f t="shared" si="35"/>
        <v>0.287441888426841</v>
      </c>
      <c r="W463" s="8"/>
      <c r="X463" s="4">
        <f t="shared" si="36"/>
        <v>0.17006705655527</v>
      </c>
      <c r="Y463" s="4">
        <f t="shared" si="37"/>
        <v>0.0551266641651032</v>
      </c>
      <c r="Z463" s="4">
        <f t="shared" si="34"/>
        <v>0.0519501271186441</v>
      </c>
      <c r="AA463" s="4">
        <f t="shared" si="38"/>
        <v>0.0102980405878236</v>
      </c>
    </row>
    <row r="464" s="4" customFormat="1" ht="15" customHeight="1" spans="1:27">
      <c r="A464" s="6" t="s">
        <v>119</v>
      </c>
      <c r="B464" s="1">
        <v>52</v>
      </c>
      <c r="C464" s="1">
        <v>1.3111</v>
      </c>
      <c r="D464" s="1">
        <v>12.873</v>
      </c>
      <c r="E464" s="1">
        <v>0.4339</v>
      </c>
      <c r="F464" s="1">
        <v>1.624</v>
      </c>
      <c r="G464" s="1">
        <f t="shared" si="35"/>
        <v>0.190373541356472</v>
      </c>
      <c r="W464" s="8"/>
      <c r="X464" s="4">
        <f t="shared" si="36"/>
        <v>0.134566285347044</v>
      </c>
      <c r="Y464" s="4">
        <f t="shared" si="37"/>
        <v>0.0344555196998124</v>
      </c>
      <c r="Z464" s="4">
        <f t="shared" si="34"/>
        <v>0.0160993220338983</v>
      </c>
      <c r="AA464" s="4">
        <f t="shared" si="38"/>
        <v>0.00525241427571728</v>
      </c>
    </row>
    <row r="465" s="4" customFormat="1" ht="15" customHeight="1" spans="1:27">
      <c r="A465" s="6" t="s">
        <v>119</v>
      </c>
      <c r="B465" s="1">
        <v>52</v>
      </c>
      <c r="C465" s="1">
        <v>1.2482</v>
      </c>
      <c r="D465" s="1">
        <v>13.562</v>
      </c>
      <c r="E465" s="1">
        <v>0.4</v>
      </c>
      <c r="F465" s="1">
        <v>1.572</v>
      </c>
      <c r="G465" s="1">
        <f t="shared" si="35"/>
        <v>0.100465835322863</v>
      </c>
      <c r="H465" s="7"/>
      <c r="W465" s="8" t="s">
        <v>120</v>
      </c>
      <c r="X465" s="4">
        <f t="shared" si="36"/>
        <v>0.0864413174807198</v>
      </c>
      <c r="Y465" s="4">
        <f t="shared" si="37"/>
        <v>0.0157891782363978</v>
      </c>
      <c r="Z465" s="4">
        <f t="shared" si="34"/>
        <v>-0.00916766949152541</v>
      </c>
      <c r="AA465" s="4">
        <f t="shared" si="38"/>
        <v>0.00740300909727081</v>
      </c>
    </row>
    <row r="466" s="4" customFormat="1" ht="15" customHeight="1" spans="1:27">
      <c r="A466" s="6" t="s">
        <v>119</v>
      </c>
      <c r="B466" s="1">
        <v>52</v>
      </c>
      <c r="C466" s="1">
        <v>1.2403</v>
      </c>
      <c r="D466" s="1">
        <v>13.77</v>
      </c>
      <c r="E466" s="1">
        <v>0.4228</v>
      </c>
      <c r="F466" s="1">
        <v>1.711</v>
      </c>
      <c r="G466" s="1">
        <f t="shared" si="35"/>
        <v>0.100031424457488</v>
      </c>
      <c r="W466" s="8"/>
      <c r="X466" s="4">
        <f t="shared" si="36"/>
        <v>0.0803970051413882</v>
      </c>
      <c r="Y466" s="4">
        <f t="shared" si="37"/>
        <v>0.0101540562851782</v>
      </c>
      <c r="Z466" s="4">
        <f t="shared" si="34"/>
        <v>0.00782605932203391</v>
      </c>
      <c r="AA466" s="4">
        <f t="shared" si="38"/>
        <v>0.00165430370888733</v>
      </c>
    </row>
    <row r="467" s="4" customFormat="1" ht="15" customHeight="1" spans="1:27">
      <c r="A467" s="6" t="s">
        <v>119</v>
      </c>
      <c r="B467" s="1">
        <v>52</v>
      </c>
      <c r="C467" s="1">
        <v>1.3312</v>
      </c>
      <c r="D467" s="1">
        <v>13.014</v>
      </c>
      <c r="E467" s="1">
        <v>0.4837</v>
      </c>
      <c r="F467" s="1">
        <v>1.606</v>
      </c>
      <c r="G467" s="1">
        <f t="shared" si="35"/>
        <v>0.239794463742902</v>
      </c>
      <c r="W467" s="8"/>
      <c r="X467" s="4">
        <f t="shared" si="36"/>
        <v>0.14994485218509</v>
      </c>
      <c r="Y467" s="4">
        <f t="shared" si="37"/>
        <v>0.0306355572232646</v>
      </c>
      <c r="Z467" s="4">
        <f t="shared" ref="Z467:Z530" si="39">(E467-U$2)/P$2*K$2</f>
        <v>0.0532172033898305</v>
      </c>
      <c r="AA467" s="4">
        <f t="shared" si="38"/>
        <v>0.00599685094471658</v>
      </c>
    </row>
    <row r="468" s="4" customFormat="1" ht="15" customHeight="1" spans="1:27">
      <c r="A468" s="6" t="s">
        <v>119</v>
      </c>
      <c r="B468" s="1">
        <v>52</v>
      </c>
      <c r="C468" s="1">
        <v>1.2593</v>
      </c>
      <c r="D468" s="1">
        <v>12.006</v>
      </c>
      <c r="E468" s="1">
        <v>0.4333</v>
      </c>
      <c r="F468" s="1">
        <v>1.472</v>
      </c>
      <c r="G468" s="1">
        <f t="shared" si="35"/>
        <v>0.180069071023165</v>
      </c>
      <c r="W468" s="8"/>
      <c r="X468" s="4">
        <f t="shared" si="36"/>
        <v>0.0949339588688947</v>
      </c>
      <c r="Y468" s="4">
        <f t="shared" si="37"/>
        <v>0.0579442251407129</v>
      </c>
      <c r="Z468" s="4">
        <f t="shared" si="39"/>
        <v>0.0156521186440678</v>
      </c>
      <c r="AA468" s="4">
        <f t="shared" si="38"/>
        <v>0.0115387683694891</v>
      </c>
    </row>
    <row r="469" s="4" customFormat="1" ht="15" customHeight="1" spans="1:27">
      <c r="A469" s="6" t="s">
        <v>121</v>
      </c>
      <c r="B469" s="1">
        <v>53</v>
      </c>
      <c r="C469" s="1">
        <v>1.3187</v>
      </c>
      <c r="D469" s="1">
        <v>14.855</v>
      </c>
      <c r="E469" s="1">
        <v>0.4055</v>
      </c>
      <c r="F469" s="1">
        <v>1.958</v>
      </c>
      <c r="G469" s="1">
        <f t="shared" si="35"/>
        <v>0.107511049628289</v>
      </c>
      <c r="W469" s="8"/>
      <c r="X469" s="4">
        <f t="shared" si="36"/>
        <v>0.140381066838046</v>
      </c>
      <c r="Y469" s="4">
        <f t="shared" si="37"/>
        <v>-0.0192406904315197</v>
      </c>
      <c r="Z469" s="4">
        <f t="shared" si="39"/>
        <v>-0.00506830508474574</v>
      </c>
      <c r="AA469" s="4">
        <f t="shared" si="38"/>
        <v>-0.00856102169349196</v>
      </c>
    </row>
    <row r="470" s="4" customFormat="1" ht="15" customHeight="1" spans="1:27">
      <c r="A470" s="6" t="s">
        <v>121</v>
      </c>
      <c r="B470" s="1">
        <v>53</v>
      </c>
      <c r="C470" s="1">
        <v>1.2602</v>
      </c>
      <c r="D470" s="1">
        <v>16.004</v>
      </c>
      <c r="E470" s="1">
        <v>0.427</v>
      </c>
      <c r="F470" s="1">
        <v>1.889</v>
      </c>
      <c r="G470" s="1">
        <f t="shared" si="35"/>
        <v>0.050502365843552</v>
      </c>
      <c r="W470" s="8"/>
      <c r="X470" s="4">
        <f t="shared" si="36"/>
        <v>0.0956225514138818</v>
      </c>
      <c r="Y470" s="4">
        <f t="shared" si="37"/>
        <v>-0.050369320825516</v>
      </c>
      <c r="Z470" s="4">
        <f t="shared" si="39"/>
        <v>0.0109564830508475</v>
      </c>
      <c r="AA470" s="4">
        <f t="shared" si="38"/>
        <v>-0.00570734779566131</v>
      </c>
    </row>
    <row r="471" s="4" customFormat="1" ht="15" customHeight="1" spans="1:27">
      <c r="A471" s="6" t="s">
        <v>121</v>
      </c>
      <c r="B471" s="1">
        <v>53</v>
      </c>
      <c r="C471" s="1">
        <v>1.2304</v>
      </c>
      <c r="D471" s="1">
        <v>15.75</v>
      </c>
      <c r="E471" s="1">
        <v>0.3782</v>
      </c>
      <c r="F471" s="1">
        <v>2.11</v>
      </c>
      <c r="G471" s="1">
        <f t="shared" si="35"/>
        <v>-0.0109289179440064</v>
      </c>
      <c r="W471" s="8"/>
      <c r="X471" s="4">
        <f t="shared" si="36"/>
        <v>0.0728224871465296</v>
      </c>
      <c r="Y471" s="4">
        <f t="shared" si="37"/>
        <v>-0.0434879699812383</v>
      </c>
      <c r="Z471" s="4">
        <f t="shared" si="39"/>
        <v>-0.0254160593220339</v>
      </c>
      <c r="AA471" s="4">
        <f t="shared" si="38"/>
        <v>-0.0148473757872638</v>
      </c>
    </row>
    <row r="472" s="4" customFormat="1" ht="15" customHeight="1" spans="1:27">
      <c r="A472" s="6" t="s">
        <v>121</v>
      </c>
      <c r="B472" s="1">
        <v>53</v>
      </c>
      <c r="C472" s="1">
        <v>1.2866</v>
      </c>
      <c r="D472" s="1">
        <v>14.831</v>
      </c>
      <c r="E472" s="1">
        <v>0.3956</v>
      </c>
      <c r="F472" s="1">
        <v>1.71</v>
      </c>
      <c r="G472" s="1">
        <f t="shared" si="35"/>
        <v>0.0864792822989656</v>
      </c>
      <c r="W472" s="8"/>
      <c r="X472" s="4">
        <f t="shared" si="36"/>
        <v>0.115821266066838</v>
      </c>
      <c r="Y472" s="4">
        <f t="shared" si="37"/>
        <v>-0.0185904840525328</v>
      </c>
      <c r="Z472" s="4">
        <f t="shared" si="39"/>
        <v>-0.0124471610169491</v>
      </c>
      <c r="AA472" s="4">
        <f t="shared" si="38"/>
        <v>0.00169566130160951</v>
      </c>
    </row>
    <row r="473" s="4" customFormat="1" ht="15" customHeight="1" spans="1:27">
      <c r="A473" s="6" t="s">
        <v>121</v>
      </c>
      <c r="B473" s="1">
        <v>53</v>
      </c>
      <c r="C473" s="1">
        <v>1.2465</v>
      </c>
      <c r="D473" s="1">
        <v>15.282</v>
      </c>
      <c r="E473" s="1">
        <v>0.3518</v>
      </c>
      <c r="F473" s="1">
        <v>1.901</v>
      </c>
      <c r="G473" s="1">
        <f t="shared" si="35"/>
        <v>0.00303504969962373</v>
      </c>
      <c r="W473" s="8"/>
      <c r="X473" s="4">
        <f t="shared" si="36"/>
        <v>0.0851406426735219</v>
      </c>
      <c r="Y473" s="4">
        <f t="shared" si="37"/>
        <v>-0.0308089455909944</v>
      </c>
      <c r="Z473" s="4">
        <f t="shared" si="39"/>
        <v>-0.0450930084745763</v>
      </c>
      <c r="AA473" s="4">
        <f t="shared" si="38"/>
        <v>-0.00620363890832751</v>
      </c>
    </row>
    <row r="474" s="4" customFormat="1" ht="15" customHeight="1" spans="1:27">
      <c r="A474" s="6" t="s">
        <v>121</v>
      </c>
      <c r="B474" s="1">
        <v>53</v>
      </c>
      <c r="C474" s="1">
        <v>1.219</v>
      </c>
      <c r="D474" s="1">
        <v>16.194</v>
      </c>
      <c r="E474" s="1">
        <v>0.3706</v>
      </c>
      <c r="F474" s="1">
        <v>1.908</v>
      </c>
      <c r="G474" s="1">
        <f t="shared" si="35"/>
        <v>-0.0289902507330726</v>
      </c>
      <c r="H474" s="7"/>
      <c r="W474" s="8" t="s">
        <v>122</v>
      </c>
      <c r="X474" s="4">
        <f t="shared" si="36"/>
        <v>0.0641003149100258</v>
      </c>
      <c r="Y474" s="4">
        <f t="shared" si="37"/>
        <v>-0.0555167879924953</v>
      </c>
      <c r="Z474" s="4">
        <f t="shared" si="39"/>
        <v>-0.0310806355932204</v>
      </c>
      <c r="AA474" s="4">
        <f t="shared" si="38"/>
        <v>-0.00649314205738279</v>
      </c>
    </row>
    <row r="475" s="4" customFormat="1" ht="15" customHeight="1" spans="1:27">
      <c r="A475" s="6" t="s">
        <v>121</v>
      </c>
      <c r="B475" s="1">
        <v>53</v>
      </c>
      <c r="C475" s="1">
        <v>1.3773</v>
      </c>
      <c r="D475" s="1">
        <v>15.521</v>
      </c>
      <c r="E475" s="1">
        <v>0.4521</v>
      </c>
      <c r="F475" s="1">
        <v>1.883</v>
      </c>
      <c r="G475" s="1">
        <f t="shared" si="35"/>
        <v>0.172137464382677</v>
      </c>
      <c r="W475" s="8"/>
      <c r="X475" s="4">
        <f t="shared" si="36"/>
        <v>0.185216092544987</v>
      </c>
      <c r="Y475" s="4">
        <f t="shared" si="37"/>
        <v>-0.0372839174484053</v>
      </c>
      <c r="Z475" s="4">
        <f t="shared" si="39"/>
        <v>0.0296644915254237</v>
      </c>
      <c r="AA475" s="4">
        <f t="shared" si="38"/>
        <v>-0.00545920223932821</v>
      </c>
    </row>
    <row r="476" s="4" customFormat="1" ht="15" customHeight="1" spans="1:27">
      <c r="A476" s="6" t="s">
        <v>121</v>
      </c>
      <c r="B476" s="1">
        <v>53</v>
      </c>
      <c r="C476" s="1">
        <v>1.1921</v>
      </c>
      <c r="D476" s="1">
        <v>15.148</v>
      </c>
      <c r="E476" s="1">
        <v>0.3911</v>
      </c>
      <c r="F476" s="1">
        <v>1.948</v>
      </c>
      <c r="G476" s="1">
        <f t="shared" si="35"/>
        <v>-0.00760821000541142</v>
      </c>
      <c r="W476" s="8"/>
      <c r="X476" s="4">
        <f t="shared" si="36"/>
        <v>0.0435190488431877</v>
      </c>
      <c r="Y476" s="4">
        <f t="shared" si="37"/>
        <v>-0.027178626641651</v>
      </c>
      <c r="Z476" s="4">
        <f t="shared" si="39"/>
        <v>-0.015801186440678</v>
      </c>
      <c r="AA476" s="4">
        <f t="shared" si="38"/>
        <v>-0.00814744576627012</v>
      </c>
    </row>
    <row r="477" s="4" customFormat="1" ht="15" customHeight="1" spans="1:27">
      <c r="A477" s="6" t="s">
        <v>121</v>
      </c>
      <c r="B477" s="1">
        <v>53</v>
      </c>
      <c r="C477" s="1">
        <v>1.2506</v>
      </c>
      <c r="D477" s="1">
        <v>16.69</v>
      </c>
      <c r="E477" s="1">
        <v>0.397</v>
      </c>
      <c r="F477" s="1">
        <v>1.951</v>
      </c>
      <c r="G477" s="1">
        <f t="shared" si="35"/>
        <v>-0.000352027209319676</v>
      </c>
      <c r="W477" s="8"/>
      <c r="X477" s="4">
        <f t="shared" si="36"/>
        <v>0.0882775642673522</v>
      </c>
      <c r="Y477" s="4">
        <f t="shared" si="37"/>
        <v>-0.0689543864915573</v>
      </c>
      <c r="Z477" s="4">
        <f t="shared" si="39"/>
        <v>-0.011403686440678</v>
      </c>
      <c r="AA477" s="4">
        <f t="shared" si="38"/>
        <v>-0.00827151854443668</v>
      </c>
    </row>
    <row r="478" s="4" customFormat="1" ht="15" customHeight="1" spans="1:27">
      <c r="A478" s="6" t="s">
        <v>123</v>
      </c>
      <c r="B478" s="1">
        <v>54</v>
      </c>
      <c r="C478" s="1">
        <v>1.2324</v>
      </c>
      <c r="D478" s="1">
        <v>17.102</v>
      </c>
      <c r="E478" s="1">
        <v>0.4045</v>
      </c>
      <c r="F478" s="1">
        <v>2.231</v>
      </c>
      <c r="G478" s="1">
        <f t="shared" si="35"/>
        <v>-0.0314288584365531</v>
      </c>
      <c r="W478" s="8"/>
      <c r="X478" s="4">
        <f t="shared" si="36"/>
        <v>0.0743526928020566</v>
      </c>
      <c r="Y478" s="4">
        <f t="shared" si="37"/>
        <v>-0.0801162626641651</v>
      </c>
      <c r="Z478" s="4">
        <f t="shared" si="39"/>
        <v>-0.00581364406779659</v>
      </c>
      <c r="AA478" s="4">
        <f t="shared" si="38"/>
        <v>-0.019851644506648</v>
      </c>
    </row>
    <row r="479" s="4" customFormat="1" ht="15" customHeight="1" spans="1:27">
      <c r="A479" s="6" t="s">
        <v>123</v>
      </c>
      <c r="B479" s="1">
        <v>54</v>
      </c>
      <c r="C479" s="1">
        <v>1.1246</v>
      </c>
      <c r="D479" s="1">
        <v>17.468</v>
      </c>
      <c r="E479" s="1">
        <v>0.4054</v>
      </c>
      <c r="F479" s="1">
        <v>2.154</v>
      </c>
      <c r="G479" s="1">
        <f t="shared" si="35"/>
        <v>-0.119967250824654</v>
      </c>
      <c r="W479" s="8"/>
      <c r="X479" s="4">
        <f t="shared" si="36"/>
        <v>-0.00812539203084821</v>
      </c>
      <c r="Y479" s="4">
        <f t="shared" si="37"/>
        <v>-0.0900319099437148</v>
      </c>
      <c r="Z479" s="4">
        <f t="shared" si="39"/>
        <v>-0.00514283898305086</v>
      </c>
      <c r="AA479" s="4">
        <f t="shared" si="38"/>
        <v>-0.0166671098670399</v>
      </c>
    </row>
    <row r="480" s="4" customFormat="1" ht="15" customHeight="1" spans="1:27">
      <c r="A480" s="6" t="s">
        <v>123</v>
      </c>
      <c r="B480" s="1">
        <v>54</v>
      </c>
      <c r="C480" s="1">
        <v>1.218</v>
      </c>
      <c r="D480" s="1">
        <v>16.194</v>
      </c>
      <c r="E480" s="1">
        <v>0.4294</v>
      </c>
      <c r="F480" s="1">
        <v>2.014</v>
      </c>
      <c r="G480" s="1">
        <f t="shared" si="35"/>
        <v>0.00968667381400227</v>
      </c>
      <c r="W480" s="8"/>
      <c r="X480" s="4">
        <f t="shared" si="36"/>
        <v>0.0633352120822623</v>
      </c>
      <c r="Y480" s="4">
        <f t="shared" si="37"/>
        <v>-0.0555167879924953</v>
      </c>
      <c r="Z480" s="4">
        <f t="shared" si="39"/>
        <v>0.0127452966101695</v>
      </c>
      <c r="AA480" s="4">
        <f t="shared" si="38"/>
        <v>-0.0108770468859342</v>
      </c>
    </row>
    <row r="481" s="4" customFormat="1" ht="15" customHeight="1" spans="1:27">
      <c r="A481" s="6" t="s">
        <v>123</v>
      </c>
      <c r="B481" s="1">
        <v>54</v>
      </c>
      <c r="C481" s="1">
        <v>1.2408</v>
      </c>
      <c r="D481" s="1">
        <v>16.244</v>
      </c>
      <c r="E481" s="1">
        <v>0.4082</v>
      </c>
      <c r="F481" s="1">
        <v>1.913</v>
      </c>
      <c r="G481" s="1">
        <f t="shared" si="35"/>
        <v>0.0141523520883831</v>
      </c>
      <c r="W481" s="8"/>
      <c r="X481" s="4">
        <f t="shared" si="36"/>
        <v>0.0807795565552699</v>
      </c>
      <c r="Y481" s="4">
        <f t="shared" si="37"/>
        <v>-0.0568713846153846</v>
      </c>
      <c r="Z481" s="4">
        <f t="shared" si="39"/>
        <v>-0.00305588983050847</v>
      </c>
      <c r="AA481" s="4">
        <f t="shared" si="38"/>
        <v>-0.00669993002099371</v>
      </c>
    </row>
    <row r="482" s="4" customFormat="1" ht="15" customHeight="1" spans="1:27">
      <c r="A482" s="6" t="s">
        <v>123</v>
      </c>
      <c r="B482" s="1">
        <v>54</v>
      </c>
      <c r="C482" s="1">
        <v>1.2998</v>
      </c>
      <c r="D482" s="1">
        <v>15.365</v>
      </c>
      <c r="E482" s="1">
        <v>0.4635</v>
      </c>
      <c r="F482" s="1">
        <v>1.964</v>
      </c>
      <c r="G482" s="1">
        <f t="shared" si="35"/>
        <v>0.122215236090704</v>
      </c>
      <c r="W482" s="8"/>
      <c r="X482" s="4">
        <f t="shared" si="36"/>
        <v>0.125920623393316</v>
      </c>
      <c r="Y482" s="4">
        <f t="shared" si="37"/>
        <v>-0.0330575759849906</v>
      </c>
      <c r="Z482" s="4">
        <f t="shared" si="39"/>
        <v>0.0381613559322034</v>
      </c>
      <c r="AA482" s="4">
        <f t="shared" si="38"/>
        <v>-0.00880916724982506</v>
      </c>
    </row>
    <row r="483" s="4" customFormat="1" ht="15" customHeight="1" spans="1:27">
      <c r="A483" s="6" t="s">
        <v>123</v>
      </c>
      <c r="B483" s="1">
        <v>54</v>
      </c>
      <c r="C483" s="1">
        <v>1.2385</v>
      </c>
      <c r="D483" s="1">
        <v>15.178</v>
      </c>
      <c r="E483" s="1">
        <v>0.4528</v>
      </c>
      <c r="F483" s="1">
        <v>2.014</v>
      </c>
      <c r="G483" s="1">
        <f t="shared" si="35"/>
        <v>0.0703376173636544</v>
      </c>
      <c r="W483" s="8"/>
      <c r="X483" s="4">
        <f t="shared" si="36"/>
        <v>0.0790198200514139</v>
      </c>
      <c r="Y483" s="4">
        <f t="shared" si="37"/>
        <v>-0.0279913846153846</v>
      </c>
      <c r="Z483" s="4">
        <f t="shared" si="39"/>
        <v>0.0301862288135593</v>
      </c>
      <c r="AA483" s="4">
        <f t="shared" si="38"/>
        <v>-0.0108770468859342</v>
      </c>
    </row>
    <row r="484" s="4" customFormat="1" ht="15" customHeight="1" spans="1:27">
      <c r="A484" s="6" t="s">
        <v>123</v>
      </c>
      <c r="B484" s="1">
        <v>54</v>
      </c>
      <c r="C484" s="1">
        <v>1.2023</v>
      </c>
      <c r="D484" s="1">
        <v>16.549</v>
      </c>
      <c r="E484" s="1">
        <v>0.445</v>
      </c>
      <c r="F484" s="1">
        <v>2.174</v>
      </c>
      <c r="G484" s="1">
        <f t="shared" si="35"/>
        <v>-0.00693300330435487</v>
      </c>
      <c r="H484" s="11"/>
      <c r="W484" s="8" t="s">
        <v>124</v>
      </c>
      <c r="X484" s="4">
        <f t="shared" si="36"/>
        <v>0.0513230976863753</v>
      </c>
      <c r="Y484" s="4">
        <f t="shared" si="37"/>
        <v>-0.0651344240150094</v>
      </c>
      <c r="Z484" s="4">
        <f t="shared" si="39"/>
        <v>0.0243725847457627</v>
      </c>
      <c r="AA484" s="4">
        <f t="shared" si="38"/>
        <v>-0.0174942617214836</v>
      </c>
    </row>
    <row r="485" s="4" customFormat="1" ht="15" customHeight="1" spans="1:27">
      <c r="A485" s="6" t="s">
        <v>123</v>
      </c>
      <c r="B485" s="1">
        <v>54</v>
      </c>
      <c r="C485" s="1">
        <v>1.1781</v>
      </c>
      <c r="D485" s="1">
        <v>16.278</v>
      </c>
      <c r="E485" s="1">
        <v>0.4357</v>
      </c>
      <c r="F485" s="1">
        <v>2.032</v>
      </c>
      <c r="G485" s="1">
        <f t="shared" si="35"/>
        <v>-0.0191654524159943</v>
      </c>
      <c r="X485" s="4">
        <f t="shared" si="36"/>
        <v>0.0328076092544987</v>
      </c>
      <c r="Y485" s="4">
        <f t="shared" si="37"/>
        <v>-0.0577925103189493</v>
      </c>
      <c r="Z485" s="4">
        <f t="shared" si="39"/>
        <v>0.0174409322033898</v>
      </c>
      <c r="AA485" s="4">
        <f t="shared" si="38"/>
        <v>-0.0116214835549335</v>
      </c>
    </row>
    <row r="486" s="4" customFormat="1" ht="15" customHeight="1" spans="1:27">
      <c r="A486" s="6" t="s">
        <v>123</v>
      </c>
      <c r="B486" s="1">
        <v>54</v>
      </c>
      <c r="C486" s="1">
        <v>1.206</v>
      </c>
      <c r="D486" s="1">
        <v>14.369</v>
      </c>
      <c r="E486" s="1">
        <v>0.4438</v>
      </c>
      <c r="F486" s="1">
        <v>1.839</v>
      </c>
      <c r="G486" s="1">
        <f t="shared" si="35"/>
        <v>0.0679186766986142</v>
      </c>
      <c r="X486" s="4">
        <f t="shared" si="36"/>
        <v>0.0541539781491003</v>
      </c>
      <c r="Y486" s="4">
        <f t="shared" si="37"/>
        <v>-0.00607401125703564</v>
      </c>
      <c r="Z486" s="4">
        <f t="shared" si="39"/>
        <v>0.0234781779661017</v>
      </c>
      <c r="AA486" s="4">
        <f t="shared" si="38"/>
        <v>-0.00363946815955214</v>
      </c>
    </row>
    <row r="487" s="4" customFormat="1" ht="15" customHeight="1" spans="1:27">
      <c r="A487" s="6" t="s">
        <v>125</v>
      </c>
      <c r="B487" s="1">
        <v>55</v>
      </c>
      <c r="C487" s="1">
        <v>1.2183</v>
      </c>
      <c r="D487" s="1">
        <v>15.988</v>
      </c>
      <c r="E487" s="1">
        <v>0.4097</v>
      </c>
      <c r="F487" s="1">
        <v>2.077</v>
      </c>
      <c r="G487" s="1">
        <f t="shared" si="35"/>
        <v>-0.00179156355896403</v>
      </c>
      <c r="X487" s="4">
        <f t="shared" si="36"/>
        <v>0.0635647429305913</v>
      </c>
      <c r="Y487" s="4">
        <f t="shared" si="37"/>
        <v>-0.0499358499061914</v>
      </c>
      <c r="Z487" s="4">
        <f t="shared" si="39"/>
        <v>-0.0019378813559322</v>
      </c>
      <c r="AA487" s="4">
        <f t="shared" si="38"/>
        <v>-0.0134825752274318</v>
      </c>
    </row>
    <row r="488" s="4" customFormat="1" ht="15" customHeight="1" spans="1:27">
      <c r="A488" s="6" t="s">
        <v>125</v>
      </c>
      <c r="B488" s="1">
        <v>55</v>
      </c>
      <c r="C488" s="1">
        <v>1.3947</v>
      </c>
      <c r="D488" s="1">
        <v>15.984</v>
      </c>
      <c r="E488" s="1">
        <v>0.4577</v>
      </c>
      <c r="F488" s="1">
        <v>2.075</v>
      </c>
      <c r="G488" s="1">
        <f t="shared" si="35"/>
        <v>0.169139929360233</v>
      </c>
      <c r="X488" s="4">
        <f t="shared" si="36"/>
        <v>0.198528881748072</v>
      </c>
      <c r="Y488" s="4">
        <f t="shared" si="37"/>
        <v>-0.0498274821763602</v>
      </c>
      <c r="Z488" s="4">
        <f t="shared" si="39"/>
        <v>0.0338383898305085</v>
      </c>
      <c r="AA488" s="4">
        <f t="shared" si="38"/>
        <v>-0.0133998600419874</v>
      </c>
    </row>
    <row r="489" s="4" customFormat="1" ht="15" customHeight="1" spans="1:27">
      <c r="A489" s="6" t="s">
        <v>125</v>
      </c>
      <c r="B489" s="1">
        <v>55</v>
      </c>
      <c r="C489" s="1">
        <v>1.3476</v>
      </c>
      <c r="D489" s="1">
        <v>15.514</v>
      </c>
      <c r="E489" s="1">
        <v>0.4503</v>
      </c>
      <c r="F489" s="1">
        <v>1.947</v>
      </c>
      <c r="G489" s="1">
        <f t="shared" si="35"/>
        <v>0.145615057821595</v>
      </c>
      <c r="X489" s="4">
        <f t="shared" si="36"/>
        <v>0.162492538560411</v>
      </c>
      <c r="Y489" s="4">
        <f t="shared" si="37"/>
        <v>-0.0370942739212007</v>
      </c>
      <c r="Z489" s="4">
        <f t="shared" si="39"/>
        <v>0.0283228813559322</v>
      </c>
      <c r="AA489" s="4">
        <f t="shared" si="38"/>
        <v>-0.00810608817354794</v>
      </c>
    </row>
    <row r="490" s="4" customFormat="1" ht="15" customHeight="1" spans="1:27">
      <c r="A490" s="6" t="s">
        <v>125</v>
      </c>
      <c r="B490" s="1">
        <v>55</v>
      </c>
      <c r="C490" s="1">
        <v>1.3993</v>
      </c>
      <c r="D490" s="1">
        <v>17.48</v>
      </c>
      <c r="E490" s="1">
        <v>0.4028</v>
      </c>
      <c r="F490" s="1">
        <v>2.343</v>
      </c>
      <c r="G490" s="1">
        <f t="shared" si="35"/>
        <v>0.0801269263920602</v>
      </c>
      <c r="X490" s="4">
        <f t="shared" si="36"/>
        <v>0.202048354755784</v>
      </c>
      <c r="Y490" s="4">
        <f t="shared" si="37"/>
        <v>-0.0903570131332083</v>
      </c>
      <c r="Z490" s="4">
        <f t="shared" si="39"/>
        <v>-0.00708072033898306</v>
      </c>
      <c r="AA490" s="4">
        <f t="shared" si="38"/>
        <v>-0.0244836948915325</v>
      </c>
    </row>
    <row r="491" s="4" customFormat="1" ht="15" customHeight="1" spans="1:27">
      <c r="A491" s="6" t="s">
        <v>125</v>
      </c>
      <c r="B491" s="1">
        <v>55</v>
      </c>
      <c r="C491" s="1">
        <v>1.3531</v>
      </c>
      <c r="D491" s="1">
        <v>16.831</v>
      </c>
      <c r="E491" s="1">
        <v>0.3726</v>
      </c>
      <c r="F491" s="1">
        <v>2.099</v>
      </c>
      <c r="G491" s="1">
        <f t="shared" si="35"/>
        <v>0.0499438552505671</v>
      </c>
      <c r="X491" s="4">
        <f t="shared" si="36"/>
        <v>0.166700604113111</v>
      </c>
      <c r="Y491" s="4">
        <f t="shared" si="37"/>
        <v>-0.072774348968105</v>
      </c>
      <c r="Z491" s="4">
        <f t="shared" si="39"/>
        <v>-0.0295899576271187</v>
      </c>
      <c r="AA491" s="4">
        <f t="shared" si="38"/>
        <v>-0.0143924422673198</v>
      </c>
    </row>
    <row r="492" s="4" customFormat="1" ht="15" customHeight="1" spans="1:27">
      <c r="A492" s="6" t="s">
        <v>125</v>
      </c>
      <c r="B492" s="1">
        <v>55</v>
      </c>
      <c r="C492" s="1">
        <v>1.3572</v>
      </c>
      <c r="D492" s="1">
        <v>16.391</v>
      </c>
      <c r="E492" s="1">
        <v>0.4201</v>
      </c>
      <c r="F492" s="1">
        <v>1.928</v>
      </c>
      <c r="G492" s="1">
        <f t="shared" si="35"/>
        <v>0.107476977176232</v>
      </c>
      <c r="X492" s="4">
        <f t="shared" si="36"/>
        <v>0.169837525706941</v>
      </c>
      <c r="Y492" s="4">
        <f t="shared" si="37"/>
        <v>-0.0608538986866791</v>
      </c>
      <c r="Z492" s="4">
        <f t="shared" si="39"/>
        <v>0.00581364406779659</v>
      </c>
      <c r="AA492" s="4">
        <f t="shared" si="38"/>
        <v>-0.00732029391182645</v>
      </c>
    </row>
    <row r="493" s="4" customFormat="1" ht="15" customHeight="1" spans="1:27">
      <c r="A493" s="6" t="s">
        <v>125</v>
      </c>
      <c r="B493" s="1">
        <v>55</v>
      </c>
      <c r="C493" s="1">
        <v>1.3264</v>
      </c>
      <c r="D493" s="1">
        <v>15.678</v>
      </c>
      <c r="E493" s="1">
        <v>0.4633</v>
      </c>
      <c r="F493" s="1">
        <v>2.082</v>
      </c>
      <c r="G493" s="1">
        <f t="shared" si="35"/>
        <v>0.129057932712098</v>
      </c>
      <c r="X493" s="4">
        <f t="shared" si="36"/>
        <v>0.146272358611825</v>
      </c>
      <c r="Y493" s="4">
        <f t="shared" si="37"/>
        <v>-0.0415373508442777</v>
      </c>
      <c r="Z493" s="4">
        <f t="shared" si="39"/>
        <v>0.0380122881355932</v>
      </c>
      <c r="AA493" s="4">
        <f t="shared" si="38"/>
        <v>-0.0136893631910427</v>
      </c>
    </row>
    <row r="494" s="4" customFormat="1" ht="15" customHeight="1" spans="1:27">
      <c r="A494" s="6" t="s">
        <v>125</v>
      </c>
      <c r="B494" s="1">
        <v>55</v>
      </c>
      <c r="C494" s="1">
        <v>1.3421</v>
      </c>
      <c r="D494" s="1">
        <v>18.248</v>
      </c>
      <c r="E494" s="1">
        <v>0.4194</v>
      </c>
      <c r="F494" s="1">
        <v>2.179</v>
      </c>
      <c r="G494" s="1">
        <f t="shared" si="35"/>
        <v>0.0347117128414907</v>
      </c>
      <c r="X494" s="4">
        <f t="shared" si="36"/>
        <v>0.158284473007712</v>
      </c>
      <c r="Y494" s="4">
        <f t="shared" si="37"/>
        <v>-0.111163617260788</v>
      </c>
      <c r="Z494" s="4">
        <f t="shared" si="39"/>
        <v>0.00529190677966101</v>
      </c>
      <c r="AA494" s="4">
        <f t="shared" si="38"/>
        <v>-0.0177010496850945</v>
      </c>
    </row>
    <row r="495" s="4" customFormat="1" ht="15" customHeight="1" spans="1:27">
      <c r="A495" s="6" t="s">
        <v>125</v>
      </c>
      <c r="B495" s="1">
        <v>55</v>
      </c>
      <c r="C495" s="1">
        <v>1.2538</v>
      </c>
      <c r="D495" s="1">
        <v>18.221</v>
      </c>
      <c r="E495" s="1">
        <v>0.3493</v>
      </c>
      <c r="F495" s="1">
        <v>2.337</v>
      </c>
      <c r="G495" s="1">
        <f t="shared" si="35"/>
        <v>-0.0908981470356351</v>
      </c>
      <c r="X495" s="4">
        <f t="shared" si="36"/>
        <v>0.0907258933161955</v>
      </c>
      <c r="Y495" s="4">
        <f t="shared" si="37"/>
        <v>-0.110432135084428</v>
      </c>
      <c r="Z495" s="4">
        <f t="shared" si="39"/>
        <v>-0.0469563559322034</v>
      </c>
      <c r="AA495" s="4">
        <f t="shared" si="38"/>
        <v>-0.0242355493351995</v>
      </c>
    </row>
    <row r="496" s="4" customFormat="1" ht="15" customHeight="1" spans="1:27">
      <c r="A496" s="6" t="s">
        <v>126</v>
      </c>
      <c r="B496" s="1">
        <v>56</v>
      </c>
      <c r="C496" s="1">
        <v>1.2231</v>
      </c>
      <c r="D496" s="1">
        <v>16.104</v>
      </c>
      <c r="E496" s="1">
        <v>0.3856</v>
      </c>
      <c r="F496" s="1">
        <v>1.895</v>
      </c>
      <c r="G496" s="1">
        <f t="shared" si="35"/>
        <v>-0.0116973217668904</v>
      </c>
      <c r="X496" s="4">
        <f t="shared" si="36"/>
        <v>0.0672372365038562</v>
      </c>
      <c r="Y496" s="4">
        <f t="shared" si="37"/>
        <v>-0.0530785140712945</v>
      </c>
      <c r="Z496" s="4">
        <f t="shared" si="39"/>
        <v>-0.0199005508474576</v>
      </c>
      <c r="AA496" s="4">
        <f t="shared" si="38"/>
        <v>-0.00595549335199441</v>
      </c>
    </row>
    <row r="497" s="4" customFormat="1" ht="15" customHeight="1" spans="1:27">
      <c r="A497" s="6" t="s">
        <v>126</v>
      </c>
      <c r="B497" s="1">
        <v>56</v>
      </c>
      <c r="C497" s="1">
        <v>1.2531</v>
      </c>
      <c r="D497" s="1">
        <v>15.453</v>
      </c>
      <c r="E497" s="1">
        <v>0.3849</v>
      </c>
      <c r="F497" s="1">
        <v>1.807</v>
      </c>
      <c r="G497" s="1">
        <f t="shared" si="35"/>
        <v>0.0320103419674498</v>
      </c>
      <c r="X497" s="4">
        <f t="shared" si="36"/>
        <v>0.0901903213367611</v>
      </c>
      <c r="Y497" s="4">
        <f t="shared" si="37"/>
        <v>-0.0354416660412758</v>
      </c>
      <c r="Z497" s="4">
        <f t="shared" si="39"/>
        <v>-0.0204222881355932</v>
      </c>
      <c r="AA497" s="4">
        <f t="shared" si="38"/>
        <v>-0.00231602519244227</v>
      </c>
    </row>
    <row r="498" s="4" customFormat="1" ht="15" customHeight="1" spans="1:27">
      <c r="A498" s="6" t="s">
        <v>126</v>
      </c>
      <c r="B498" s="1">
        <v>56</v>
      </c>
      <c r="C498" s="1">
        <v>1.2473</v>
      </c>
      <c r="D498" s="1">
        <v>14.125</v>
      </c>
      <c r="E498" s="1">
        <v>0.3792</v>
      </c>
      <c r="F498" s="1">
        <v>1.84</v>
      </c>
      <c r="G498" s="1">
        <f t="shared" si="35"/>
        <v>0.0579375991071395</v>
      </c>
      <c r="X498" s="4">
        <f t="shared" si="36"/>
        <v>0.0857527249357328</v>
      </c>
      <c r="Y498" s="4">
        <f t="shared" si="37"/>
        <v>0.000536420262664166</v>
      </c>
      <c r="Z498" s="4">
        <f t="shared" si="39"/>
        <v>-0.0246707203389831</v>
      </c>
      <c r="AA498" s="4">
        <f t="shared" si="38"/>
        <v>-0.00368082575227433</v>
      </c>
    </row>
    <row r="499" s="4" customFormat="1" ht="15" customHeight="1" spans="1:27">
      <c r="A499" s="6" t="s">
        <v>126</v>
      </c>
      <c r="B499" s="1">
        <v>56</v>
      </c>
      <c r="C499" s="1">
        <v>1.1783</v>
      </c>
      <c r="D499" s="1">
        <v>15.824</v>
      </c>
      <c r="E499" s="1">
        <v>0.3741</v>
      </c>
      <c r="F499" s="1">
        <v>1.832</v>
      </c>
      <c r="G499" s="1">
        <f t="shared" si="35"/>
        <v>-0.0443540573261023</v>
      </c>
      <c r="X499" s="4">
        <f t="shared" si="36"/>
        <v>0.0329606298200514</v>
      </c>
      <c r="Y499" s="4">
        <f t="shared" si="37"/>
        <v>-0.0454927729831144</v>
      </c>
      <c r="Z499" s="4">
        <f t="shared" si="39"/>
        <v>-0.0284719491525424</v>
      </c>
      <c r="AA499" s="4">
        <f t="shared" si="38"/>
        <v>-0.00334996501049686</v>
      </c>
    </row>
    <row r="500" s="4" customFormat="1" ht="15" customHeight="1" spans="1:27">
      <c r="A500" s="6" t="s">
        <v>126</v>
      </c>
      <c r="B500" s="1">
        <v>56</v>
      </c>
      <c r="C500" s="1">
        <v>1.1301</v>
      </c>
      <c r="D500" s="1">
        <v>14.96</v>
      </c>
      <c r="E500" s="1">
        <v>0.3936</v>
      </c>
      <c r="F500" s="1">
        <v>1.758</v>
      </c>
      <c r="G500" s="1">
        <f t="shared" si="35"/>
        <v>-0.0402300119498423</v>
      </c>
      <c r="X500" s="4">
        <f t="shared" si="36"/>
        <v>-0.00391732647814894</v>
      </c>
      <c r="Y500" s="4">
        <f t="shared" si="37"/>
        <v>-0.0220853433395873</v>
      </c>
      <c r="Z500" s="4">
        <f t="shared" si="39"/>
        <v>-0.0139378389830508</v>
      </c>
      <c r="AA500" s="4">
        <f t="shared" si="38"/>
        <v>-0.000289503149055288</v>
      </c>
    </row>
    <row r="501" s="4" customFormat="1" ht="15" customHeight="1" spans="1:27">
      <c r="A501" s="6" t="s">
        <v>126</v>
      </c>
      <c r="B501" s="1">
        <v>56</v>
      </c>
      <c r="C501" s="1">
        <v>1.1505</v>
      </c>
      <c r="D501" s="1">
        <v>15.481</v>
      </c>
      <c r="E501" s="1">
        <v>0.3607</v>
      </c>
      <c r="F501" s="1">
        <v>1.951</v>
      </c>
      <c r="G501" s="1">
        <f t="shared" si="35"/>
        <v>-0.0712404790117278</v>
      </c>
      <c r="X501" s="4">
        <f t="shared" si="36"/>
        <v>0.0116907712082264</v>
      </c>
      <c r="Y501" s="4">
        <f t="shared" si="37"/>
        <v>-0.0362002401500938</v>
      </c>
      <c r="Z501" s="4">
        <f t="shared" si="39"/>
        <v>-0.0384594915254237</v>
      </c>
      <c r="AA501" s="4">
        <f t="shared" si="38"/>
        <v>-0.00827151854443668</v>
      </c>
    </row>
    <row r="502" s="4" customFormat="1" ht="15" customHeight="1" spans="1:27">
      <c r="A502" s="6" t="s">
        <v>126</v>
      </c>
      <c r="B502" s="1">
        <v>56</v>
      </c>
      <c r="C502" s="1">
        <v>1.1815</v>
      </c>
      <c r="D502" s="1">
        <v>15.006</v>
      </c>
      <c r="E502" s="1">
        <v>0.3924</v>
      </c>
      <c r="F502" s="1">
        <v>1.914</v>
      </c>
      <c r="G502" s="1">
        <f t="shared" si="35"/>
        <v>-0.00949614674017846</v>
      </c>
      <c r="X502" s="4">
        <f t="shared" si="36"/>
        <v>0.0354089588688947</v>
      </c>
      <c r="Y502" s="4">
        <f t="shared" si="37"/>
        <v>-0.0233315722326454</v>
      </c>
      <c r="Z502" s="4">
        <f t="shared" si="39"/>
        <v>-0.0148322457627118</v>
      </c>
      <c r="AA502" s="4">
        <f t="shared" si="38"/>
        <v>-0.00674128761371589</v>
      </c>
    </row>
    <row r="503" s="4" customFormat="1" ht="15" customHeight="1" spans="1:27">
      <c r="A503" s="6" t="s">
        <v>126</v>
      </c>
      <c r="B503" s="1">
        <v>56</v>
      </c>
      <c r="C503" s="1">
        <v>1.2197</v>
      </c>
      <c r="D503" s="1">
        <v>15.376</v>
      </c>
      <c r="E503" s="1">
        <v>0.3807</v>
      </c>
      <c r="F503" s="1">
        <v>1.787</v>
      </c>
      <c r="G503" s="1">
        <f t="shared" si="35"/>
        <v>0.00623871444502858</v>
      </c>
      <c r="X503" s="4">
        <f t="shared" si="36"/>
        <v>0.0646358868894602</v>
      </c>
      <c r="Y503" s="4">
        <f t="shared" si="37"/>
        <v>-0.0333555872420263</v>
      </c>
      <c r="Z503" s="4">
        <f t="shared" si="39"/>
        <v>-0.0235527118644068</v>
      </c>
      <c r="AA503" s="4">
        <f t="shared" si="38"/>
        <v>-0.0014888733379986</v>
      </c>
    </row>
    <row r="504" s="4" customFormat="1" ht="15" customHeight="1" spans="1:27">
      <c r="A504" s="6" t="s">
        <v>126</v>
      </c>
      <c r="B504" s="1">
        <v>56</v>
      </c>
      <c r="C504" s="1">
        <v>1.2172</v>
      </c>
      <c r="D504" s="1">
        <v>14.846</v>
      </c>
      <c r="E504" s="1">
        <v>0.4026</v>
      </c>
      <c r="F504" s="1">
        <v>1.749</v>
      </c>
      <c r="G504" s="1">
        <f t="shared" si="35"/>
        <v>0.0365791938305031</v>
      </c>
      <c r="X504" s="4">
        <f t="shared" si="36"/>
        <v>0.0627231298200515</v>
      </c>
      <c r="Y504" s="4">
        <f t="shared" si="37"/>
        <v>-0.0189968630393996</v>
      </c>
      <c r="Z504" s="4">
        <f t="shared" si="39"/>
        <v>-0.00722978813559321</v>
      </c>
      <c r="AA504" s="4">
        <f t="shared" si="38"/>
        <v>8.27151854443576e-5</v>
      </c>
    </row>
    <row r="505" s="4" customFormat="1" ht="15" customHeight="1" spans="1:27">
      <c r="A505" s="6" t="s">
        <v>127</v>
      </c>
      <c r="B505" s="1">
        <v>57</v>
      </c>
      <c r="C505" s="1">
        <v>1.1849</v>
      </c>
      <c r="D505" s="1">
        <v>13.832</v>
      </c>
      <c r="E505" s="1">
        <v>0.4465</v>
      </c>
      <c r="F505" s="1">
        <v>1.614</v>
      </c>
      <c r="G505" s="1">
        <f t="shared" si="35"/>
        <v>0.0776412483793642</v>
      </c>
      <c r="X505" s="4">
        <f t="shared" si="36"/>
        <v>0.0380103084832906</v>
      </c>
      <c r="Y505" s="4">
        <f t="shared" si="37"/>
        <v>0.00847435647279548</v>
      </c>
      <c r="Z505" s="4">
        <f t="shared" si="39"/>
        <v>0.025490593220339</v>
      </c>
      <c r="AA505" s="4">
        <f t="shared" si="38"/>
        <v>0.00566599020293911</v>
      </c>
    </row>
    <row r="506" s="4" customFormat="1" ht="15" customHeight="1" spans="1:27">
      <c r="A506" s="6" t="s">
        <v>127</v>
      </c>
      <c r="B506" s="1">
        <v>57</v>
      </c>
      <c r="C506" s="1">
        <v>1.208</v>
      </c>
      <c r="D506" s="1">
        <v>15.62</v>
      </c>
      <c r="E506" s="1">
        <v>0.4168</v>
      </c>
      <c r="F506" s="1">
        <v>1.977</v>
      </c>
      <c r="G506" s="1">
        <f t="shared" si="35"/>
        <v>0.00972537451141662</v>
      </c>
      <c r="X506" s="4">
        <f t="shared" si="36"/>
        <v>0.0556841838046273</v>
      </c>
      <c r="Y506" s="4">
        <f t="shared" si="37"/>
        <v>-0.0399660187617261</v>
      </c>
      <c r="Z506" s="4">
        <f t="shared" si="39"/>
        <v>0.00335402542372882</v>
      </c>
      <c r="AA506" s="4">
        <f t="shared" si="38"/>
        <v>-0.00934681595521344</v>
      </c>
    </row>
    <row r="507" s="4" customFormat="1" ht="15" customHeight="1" spans="1:27">
      <c r="A507" s="6" t="s">
        <v>127</v>
      </c>
      <c r="B507" s="1">
        <v>57</v>
      </c>
      <c r="C507" s="1">
        <v>1.1648</v>
      </c>
      <c r="D507" s="1">
        <v>14.618</v>
      </c>
      <c r="E507" s="1">
        <v>0.4048</v>
      </c>
      <c r="F507" s="1">
        <v>1.839</v>
      </c>
      <c r="G507" s="1">
        <f t="shared" si="35"/>
        <v>0.00058232867378644</v>
      </c>
      <c r="X507" s="4">
        <f t="shared" si="36"/>
        <v>0.0226317416452443</v>
      </c>
      <c r="Y507" s="4">
        <f t="shared" si="37"/>
        <v>-0.0128199024390244</v>
      </c>
      <c r="Z507" s="4">
        <f t="shared" si="39"/>
        <v>-0.00559004237288136</v>
      </c>
      <c r="AA507" s="4">
        <f t="shared" si="38"/>
        <v>-0.00363946815955214</v>
      </c>
    </row>
    <row r="508" s="4" customFormat="1" ht="15" customHeight="1" spans="1:27">
      <c r="A508" s="6" t="s">
        <v>127</v>
      </c>
      <c r="B508" s="1">
        <v>57</v>
      </c>
      <c r="C508" s="1">
        <v>1.2429</v>
      </c>
      <c r="D508" s="1">
        <v>13.946</v>
      </c>
      <c r="E508" s="1">
        <v>0.4262</v>
      </c>
      <c r="F508" s="1">
        <v>1.701</v>
      </c>
      <c r="G508" s="1">
        <f t="shared" si="35"/>
        <v>0.100200240166697</v>
      </c>
      <c r="X508" s="4">
        <f t="shared" si="36"/>
        <v>0.0823862724935732</v>
      </c>
      <c r="Y508" s="4">
        <f t="shared" si="37"/>
        <v>0.00538587617260789</v>
      </c>
      <c r="Z508" s="4">
        <f t="shared" si="39"/>
        <v>0.0103602118644068</v>
      </c>
      <c r="AA508" s="4">
        <f t="shared" si="38"/>
        <v>0.00206787963610916</v>
      </c>
    </row>
    <row r="509" s="4" customFormat="1" ht="15" customHeight="1" spans="1:27">
      <c r="A509" s="6" t="s">
        <v>127</v>
      </c>
      <c r="B509" s="1">
        <v>57</v>
      </c>
      <c r="C509" s="1">
        <v>1.1467</v>
      </c>
      <c r="D509" s="1">
        <v>16.874</v>
      </c>
      <c r="E509" s="1">
        <v>0.3893</v>
      </c>
      <c r="F509" s="1">
        <v>2.002</v>
      </c>
      <c r="G509" s="1">
        <f t="shared" si="35"/>
        <v>-0.0926794739845023</v>
      </c>
      <c r="X509" s="4">
        <f t="shared" si="36"/>
        <v>0.00878338046272505</v>
      </c>
      <c r="Y509" s="4">
        <f t="shared" si="37"/>
        <v>-0.0739393020637898</v>
      </c>
      <c r="Z509" s="4">
        <f t="shared" si="39"/>
        <v>-0.0171427966101695</v>
      </c>
      <c r="AA509" s="4">
        <f t="shared" si="38"/>
        <v>-0.010380755773268</v>
      </c>
    </row>
    <row r="510" s="4" customFormat="1" ht="15" customHeight="1" spans="1:27">
      <c r="A510" s="6" t="s">
        <v>127</v>
      </c>
      <c r="B510" s="1">
        <v>57</v>
      </c>
      <c r="C510" s="1">
        <v>1.1512</v>
      </c>
      <c r="D510" s="1">
        <v>15.08</v>
      </c>
      <c r="E510" s="1">
        <v>0.4155</v>
      </c>
      <c r="F510" s="1">
        <v>1.793</v>
      </c>
      <c r="G510" s="1">
        <f t="shared" si="35"/>
        <v>-0.0124619661954298</v>
      </c>
      <c r="X510" s="4">
        <f t="shared" si="36"/>
        <v>0.0122263431876607</v>
      </c>
      <c r="Y510" s="4">
        <f t="shared" si="37"/>
        <v>-0.0253363752345216</v>
      </c>
      <c r="Z510" s="4">
        <f t="shared" si="39"/>
        <v>0.0023850847457627</v>
      </c>
      <c r="AA510" s="4">
        <f t="shared" si="38"/>
        <v>-0.0017370188943317</v>
      </c>
    </row>
    <row r="511" s="4" customFormat="1" ht="15" customHeight="1" spans="1:27">
      <c r="A511" s="6" t="s">
        <v>127</v>
      </c>
      <c r="B511" s="1">
        <v>57</v>
      </c>
      <c r="C511" s="1">
        <v>1.1487</v>
      </c>
      <c r="D511" s="1">
        <v>15.365</v>
      </c>
      <c r="E511" s="1">
        <v>0.4237</v>
      </c>
      <c r="F511" s="1">
        <v>1.87</v>
      </c>
      <c r="G511" s="1">
        <f t="shared" si="35"/>
        <v>-0.0191686789938987</v>
      </c>
      <c r="X511" s="4">
        <f t="shared" si="36"/>
        <v>0.010313586118252</v>
      </c>
      <c r="Y511" s="4">
        <f t="shared" si="37"/>
        <v>-0.0330575759849906</v>
      </c>
      <c r="Z511" s="4">
        <f t="shared" si="39"/>
        <v>0.00849686440677968</v>
      </c>
      <c r="AA511" s="4">
        <f t="shared" si="38"/>
        <v>-0.00492155353393983</v>
      </c>
    </row>
    <row r="512" s="4" customFormat="1" ht="15" customHeight="1" spans="1:27">
      <c r="A512" s="6" t="s">
        <v>127</v>
      </c>
      <c r="B512" s="1">
        <v>57</v>
      </c>
      <c r="C512" s="1">
        <v>1.2521</v>
      </c>
      <c r="D512" s="1">
        <v>14.897</v>
      </c>
      <c r="E512" s="1">
        <v>0.4414</v>
      </c>
      <c r="F512" s="1">
        <v>1.791</v>
      </c>
      <c r="G512" s="1">
        <f t="shared" si="35"/>
        <v>0.0890817276121431</v>
      </c>
      <c r="X512" s="4">
        <f t="shared" si="36"/>
        <v>0.0894252185089975</v>
      </c>
      <c r="Y512" s="4">
        <f t="shared" si="37"/>
        <v>-0.0203785515947467</v>
      </c>
      <c r="Z512" s="4">
        <f t="shared" si="39"/>
        <v>0.0216893644067797</v>
      </c>
      <c r="AA512" s="4">
        <f t="shared" si="38"/>
        <v>-0.00165430370888734</v>
      </c>
    </row>
    <row r="513" s="4" customFormat="1" ht="15" customHeight="1" spans="1:27">
      <c r="A513" s="6" t="s">
        <v>127</v>
      </c>
      <c r="B513" s="1">
        <v>57</v>
      </c>
      <c r="C513" s="1">
        <v>1.2766</v>
      </c>
      <c r="D513" s="1">
        <v>15.231</v>
      </c>
      <c r="E513" s="1">
        <v>0.3953</v>
      </c>
      <c r="F513" s="1">
        <v>1.847</v>
      </c>
      <c r="G513" s="1">
        <f t="shared" si="35"/>
        <v>0.0621018891403618</v>
      </c>
      <c r="X513" s="4">
        <f t="shared" si="36"/>
        <v>0.108170237789203</v>
      </c>
      <c r="Y513" s="4">
        <f t="shared" si="37"/>
        <v>-0.0294272570356473</v>
      </c>
      <c r="Z513" s="4">
        <f t="shared" si="39"/>
        <v>-0.0126707627118644</v>
      </c>
      <c r="AA513" s="4">
        <f t="shared" si="38"/>
        <v>-0.0039703289013296</v>
      </c>
    </row>
    <row r="514" s="4" customFormat="1" ht="15" customHeight="1" spans="1:27">
      <c r="A514" s="6" t="s">
        <v>128</v>
      </c>
      <c r="B514" s="1">
        <v>58</v>
      </c>
      <c r="C514" s="1">
        <v>1.2786</v>
      </c>
      <c r="D514" s="1">
        <v>12.503</v>
      </c>
      <c r="E514" s="1">
        <v>0.4649</v>
      </c>
      <c r="F514" s="1">
        <v>1.491</v>
      </c>
      <c r="G514" s="1">
        <f t="shared" ref="G514:G576" si="40">SUM(X514,Y514,Z514,AA514)</f>
        <v>0.204137782770166</v>
      </c>
      <c r="X514" s="4">
        <f t="shared" ref="X514:X576" si="41">(C514-S$2)/N$2*I$2</f>
        <v>0.10970044344473</v>
      </c>
      <c r="Y514" s="4">
        <f t="shared" ref="Y514:Y576" si="42">(T$2-D514)/O$2*J$2</f>
        <v>0.0444795347091932</v>
      </c>
      <c r="Z514" s="4">
        <f t="shared" si="39"/>
        <v>0.0392048305084746</v>
      </c>
      <c r="AA514" s="4">
        <f t="shared" ref="AA514:AA576" si="43">(V$2-F514)/Q$2*L$2</f>
        <v>0.0107529741077677</v>
      </c>
    </row>
    <row r="515" s="4" customFormat="1" ht="15" customHeight="1" spans="1:27">
      <c r="A515" s="6" t="s">
        <v>128</v>
      </c>
      <c r="B515" s="1">
        <v>58</v>
      </c>
      <c r="C515" s="1">
        <v>1.2466</v>
      </c>
      <c r="D515" s="1">
        <v>12.986</v>
      </c>
      <c r="E515" s="1">
        <v>0.446</v>
      </c>
      <c r="F515" s="1">
        <v>1.569</v>
      </c>
      <c r="G515" s="1">
        <f t="shared" si="40"/>
        <v>0.149256289892632</v>
      </c>
      <c r="X515" s="4">
        <f t="shared" si="41"/>
        <v>0.0852171529562982</v>
      </c>
      <c r="Y515" s="4">
        <f t="shared" si="42"/>
        <v>0.0313941313320825</v>
      </c>
      <c r="Z515" s="4">
        <f t="shared" si="39"/>
        <v>0.0251179237288136</v>
      </c>
      <c r="AA515" s="4">
        <f t="shared" si="43"/>
        <v>0.00752708187543737</v>
      </c>
    </row>
    <row r="516" s="4" customFormat="1" ht="15" customHeight="1" spans="1:27">
      <c r="A516" s="6" t="s">
        <v>128</v>
      </c>
      <c r="B516" s="1">
        <v>58</v>
      </c>
      <c r="C516" s="1">
        <v>1.2645</v>
      </c>
      <c r="D516" s="1">
        <v>13.662</v>
      </c>
      <c r="E516" s="1">
        <v>0.4509</v>
      </c>
      <c r="F516" s="1">
        <v>1.608</v>
      </c>
      <c r="G516" s="1">
        <f t="shared" si="40"/>
        <v>0.146676699068919</v>
      </c>
      <c r="X516" s="4">
        <f t="shared" si="41"/>
        <v>0.0989124935732648</v>
      </c>
      <c r="Y516" s="4">
        <f t="shared" si="42"/>
        <v>0.0130799849906191</v>
      </c>
      <c r="Z516" s="4">
        <f t="shared" si="39"/>
        <v>0.0287700847457627</v>
      </c>
      <c r="AA516" s="4">
        <f t="shared" si="43"/>
        <v>0.00591413575927221</v>
      </c>
    </row>
    <row r="517" s="4" customFormat="1" ht="15" customHeight="1" spans="1:27">
      <c r="A517" s="6" t="s">
        <v>128</v>
      </c>
      <c r="B517" s="1">
        <v>58</v>
      </c>
      <c r="C517" s="1">
        <v>1.2396</v>
      </c>
      <c r="D517" s="1">
        <v>13.47</v>
      </c>
      <c r="E517" s="1">
        <v>0.4696</v>
      </c>
      <c r="F517" s="1">
        <v>1.631</v>
      </c>
      <c r="G517" s="1">
        <f t="shared" si="40"/>
        <v>0.145813904039943</v>
      </c>
      <c r="X517" s="4">
        <f t="shared" si="41"/>
        <v>0.0798614331619538</v>
      </c>
      <c r="Y517" s="4">
        <f t="shared" si="42"/>
        <v>0.0182816360225141</v>
      </c>
      <c r="Z517" s="4">
        <f t="shared" si="39"/>
        <v>0.0427079237288136</v>
      </c>
      <c r="AA517" s="4">
        <f t="shared" si="43"/>
        <v>0.004962911126662</v>
      </c>
    </row>
    <row r="518" s="4" customFormat="1" ht="15" customHeight="1" spans="1:27">
      <c r="A518" s="6" t="s">
        <v>128</v>
      </c>
      <c r="B518" s="1">
        <v>58</v>
      </c>
      <c r="C518" s="1">
        <v>1.2263</v>
      </c>
      <c r="D518" s="1">
        <v>13.595</v>
      </c>
      <c r="E518" s="1">
        <v>0.4651</v>
      </c>
      <c r="F518" s="1">
        <v>1.587</v>
      </c>
      <c r="G518" s="1">
        <f t="shared" si="40"/>
        <v>0.130717253529513</v>
      </c>
      <c r="X518" s="4">
        <f t="shared" si="41"/>
        <v>0.0696855655526993</v>
      </c>
      <c r="Y518" s="4">
        <f t="shared" si="42"/>
        <v>0.0148951444652908</v>
      </c>
      <c r="Z518" s="4">
        <f t="shared" si="39"/>
        <v>0.0393538983050848</v>
      </c>
      <c r="AA518" s="4">
        <f t="shared" si="43"/>
        <v>0.00678264520643807</v>
      </c>
    </row>
    <row r="519" s="4" customFormat="1" ht="15" customHeight="1" spans="1:27">
      <c r="A519" s="6" t="s">
        <v>128</v>
      </c>
      <c r="B519" s="1">
        <v>58</v>
      </c>
      <c r="C519" s="1">
        <v>1.248</v>
      </c>
      <c r="D519" s="1">
        <v>14.361</v>
      </c>
      <c r="E519" s="1">
        <v>0.3962</v>
      </c>
      <c r="F519" s="1">
        <v>1.818</v>
      </c>
      <c r="G519" s="1">
        <f t="shared" si="40"/>
        <v>0.0656601047782889</v>
      </c>
      <c r="X519" s="4">
        <f t="shared" si="41"/>
        <v>0.0862882969151672</v>
      </c>
      <c r="Y519" s="4">
        <f t="shared" si="42"/>
        <v>-0.00585727579737338</v>
      </c>
      <c r="Z519" s="4">
        <f t="shared" si="39"/>
        <v>-0.0119999576271186</v>
      </c>
      <c r="AA519" s="4">
        <f t="shared" si="43"/>
        <v>-0.00277095871238629</v>
      </c>
    </row>
    <row r="520" s="4" customFormat="1" ht="15" customHeight="1" spans="1:27">
      <c r="A520" s="6" t="s">
        <v>128</v>
      </c>
      <c r="B520" s="1">
        <v>58</v>
      </c>
      <c r="C520" s="1">
        <v>1.3187</v>
      </c>
      <c r="D520" s="1">
        <v>12.756</v>
      </c>
      <c r="E520" s="1">
        <v>0.3467</v>
      </c>
      <c r="F520" s="1">
        <v>1.716</v>
      </c>
      <c r="G520" s="1">
        <f t="shared" si="40"/>
        <v>0.13055962109256</v>
      </c>
      <c r="X520" s="4">
        <f t="shared" si="41"/>
        <v>0.140381066838046</v>
      </c>
      <c r="Y520" s="4">
        <f t="shared" si="42"/>
        <v>0.0376252757973734</v>
      </c>
      <c r="Z520" s="4">
        <f t="shared" si="39"/>
        <v>-0.0488942372881356</v>
      </c>
      <c r="AA520" s="4">
        <f t="shared" si="43"/>
        <v>0.00144751574527641</v>
      </c>
    </row>
    <row r="521" s="4" customFormat="1" ht="15" customHeight="1" spans="1:27">
      <c r="A521" s="6" t="s">
        <v>128</v>
      </c>
      <c r="B521" s="1">
        <v>58</v>
      </c>
      <c r="C521" s="1">
        <v>1.2779</v>
      </c>
      <c r="D521" s="1">
        <v>13.144</v>
      </c>
      <c r="E521" s="1">
        <v>0.4687</v>
      </c>
      <c r="F521" s="1">
        <v>1.561</v>
      </c>
      <c r="G521" s="1">
        <f t="shared" si="40"/>
        <v>0.186173538730331</v>
      </c>
      <c r="X521" s="4">
        <f t="shared" si="41"/>
        <v>0.109164871465296</v>
      </c>
      <c r="Y521" s="4">
        <f t="shared" si="42"/>
        <v>0.0271136060037523</v>
      </c>
      <c r="Z521" s="4">
        <f t="shared" si="39"/>
        <v>0.0420371186440678</v>
      </c>
      <c r="AA521" s="4">
        <f t="shared" si="43"/>
        <v>0.00785794261721483</v>
      </c>
    </row>
    <row r="522" s="4" customFormat="1" ht="15" customHeight="1" spans="1:27">
      <c r="A522" s="6" t="s">
        <v>128</v>
      </c>
      <c r="B522" s="1">
        <v>58</v>
      </c>
      <c r="C522" s="1">
        <v>1.2903</v>
      </c>
      <c r="D522" s="1">
        <v>13.001</v>
      </c>
      <c r="E522" s="1">
        <v>0.5041</v>
      </c>
      <c r="F522" s="1">
        <v>1.683</v>
      </c>
      <c r="G522" s="1">
        <f t="shared" si="40"/>
        <v>0.220874333823955</v>
      </c>
      <c r="X522" s="4">
        <f t="shared" si="41"/>
        <v>0.118652146529563</v>
      </c>
      <c r="Y522" s="4">
        <f t="shared" si="42"/>
        <v>0.0309877523452158</v>
      </c>
      <c r="Z522" s="4">
        <f t="shared" si="39"/>
        <v>0.0684221186440678</v>
      </c>
      <c r="AA522" s="4">
        <f t="shared" si="43"/>
        <v>0.00281231630510846</v>
      </c>
    </row>
    <row r="523" s="4" customFormat="1" ht="15" customHeight="1" spans="1:27">
      <c r="A523" s="6" t="s">
        <v>129</v>
      </c>
      <c r="B523" s="1">
        <v>59</v>
      </c>
      <c r="C523" s="1">
        <v>1.1155</v>
      </c>
      <c r="D523" s="1">
        <v>17.244</v>
      </c>
      <c r="E523" s="1">
        <v>0.3345</v>
      </c>
      <c r="F523" s="1">
        <v>2.297</v>
      </c>
      <c r="G523" s="1">
        <f t="shared" si="40"/>
        <v>-0.179619763344335</v>
      </c>
      <c r="X523" s="4">
        <f t="shared" si="41"/>
        <v>-0.0150878277634961</v>
      </c>
      <c r="Y523" s="4">
        <f t="shared" si="42"/>
        <v>-0.0839633170731707</v>
      </c>
      <c r="Z523" s="4">
        <f t="shared" si="39"/>
        <v>-0.0579873728813559</v>
      </c>
      <c r="AA523" s="4">
        <f t="shared" si="43"/>
        <v>-0.0225812456263121</v>
      </c>
    </row>
    <row r="524" s="4" customFormat="1" ht="15" customHeight="1" spans="1:27">
      <c r="A524" s="6" t="s">
        <v>129</v>
      </c>
      <c r="B524" s="1">
        <v>59</v>
      </c>
      <c r="C524" s="1">
        <v>1.2083</v>
      </c>
      <c r="D524" s="1">
        <v>16.164</v>
      </c>
      <c r="E524" s="1">
        <v>0.3843</v>
      </c>
      <c r="F524" s="1">
        <v>2.041</v>
      </c>
      <c r="G524" s="1">
        <f t="shared" si="40"/>
        <v>-0.0316535087806624</v>
      </c>
      <c r="X524" s="4">
        <f t="shared" si="41"/>
        <v>0.0559137146529563</v>
      </c>
      <c r="Y524" s="4">
        <f t="shared" si="42"/>
        <v>-0.0547040300187618</v>
      </c>
      <c r="Z524" s="4">
        <f t="shared" si="39"/>
        <v>-0.0208694915254238</v>
      </c>
      <c r="AA524" s="4">
        <f t="shared" si="43"/>
        <v>-0.0119937018894332</v>
      </c>
    </row>
    <row r="525" s="4" customFormat="1" ht="15" customHeight="1" spans="1:27">
      <c r="A525" s="6" t="s">
        <v>129</v>
      </c>
      <c r="B525" s="1">
        <v>59</v>
      </c>
      <c r="C525" s="1">
        <v>1.1998</v>
      </c>
      <c r="D525" s="1">
        <v>17.822</v>
      </c>
      <c r="E525" s="1">
        <v>0.3126</v>
      </c>
      <c r="F525" s="1">
        <v>2.126</v>
      </c>
      <c r="G525" s="1">
        <f t="shared" si="40"/>
        <v>-0.140031507297793</v>
      </c>
      <c r="X525" s="4">
        <f t="shared" si="41"/>
        <v>0.0494103406169666</v>
      </c>
      <c r="Y525" s="4">
        <f t="shared" si="42"/>
        <v>-0.0996224540337711</v>
      </c>
      <c r="Z525" s="4">
        <f t="shared" si="39"/>
        <v>-0.0743102966101695</v>
      </c>
      <c r="AA525" s="4">
        <f t="shared" si="43"/>
        <v>-0.0155090972708188</v>
      </c>
    </row>
    <row r="526" s="4" customFormat="1" ht="15" customHeight="1" spans="1:27">
      <c r="A526" s="6" t="s">
        <v>129</v>
      </c>
      <c r="B526" s="1">
        <v>59</v>
      </c>
      <c r="C526" s="1">
        <v>1.1435</v>
      </c>
      <c r="D526" s="1">
        <v>16.051</v>
      </c>
      <c r="E526" s="1">
        <v>0.3395</v>
      </c>
      <c r="F526" s="1">
        <v>2.146</v>
      </c>
      <c r="G526" s="1">
        <f t="shared" si="40"/>
        <v>-0.115904517328514</v>
      </c>
      <c r="X526" s="4">
        <f t="shared" si="41"/>
        <v>0.0063350514138818</v>
      </c>
      <c r="Y526" s="4">
        <f t="shared" si="42"/>
        <v>-0.0516426416510319</v>
      </c>
      <c r="Z526" s="4">
        <f t="shared" si="39"/>
        <v>-0.0542606779661017</v>
      </c>
      <c r="AA526" s="4">
        <f t="shared" si="43"/>
        <v>-0.0163362491252624</v>
      </c>
    </row>
    <row r="527" s="4" customFormat="1" ht="15" customHeight="1" spans="1:27">
      <c r="A527" s="6" t="s">
        <v>129</v>
      </c>
      <c r="B527" s="1">
        <v>59</v>
      </c>
      <c r="C527" s="1">
        <v>1.2331</v>
      </c>
      <c r="D527" s="1">
        <v>16.74</v>
      </c>
      <c r="E527" s="1">
        <v>0.3534</v>
      </c>
      <c r="F527" s="1">
        <v>2.107</v>
      </c>
      <c r="G527" s="1">
        <f t="shared" si="40"/>
        <v>-0.0540444874437475</v>
      </c>
      <c r="X527" s="4">
        <f t="shared" si="41"/>
        <v>0.0748882647814911</v>
      </c>
      <c r="Y527" s="4">
        <f t="shared" si="42"/>
        <v>-0.0703089831144465</v>
      </c>
      <c r="Z527" s="4">
        <f t="shared" si="39"/>
        <v>-0.0439004661016949</v>
      </c>
      <c r="AA527" s="4">
        <f t="shared" si="43"/>
        <v>-0.0147233030090973</v>
      </c>
    </row>
    <row r="528" s="4" customFormat="1" ht="15" customHeight="1" spans="1:27">
      <c r="A528" s="6" t="s">
        <v>129</v>
      </c>
      <c r="B528" s="1">
        <v>59</v>
      </c>
      <c r="C528" s="1">
        <v>1.1234</v>
      </c>
      <c r="D528" s="1">
        <v>16.541</v>
      </c>
      <c r="E528" s="1">
        <v>0.3754</v>
      </c>
      <c r="F528" s="1">
        <v>2.133</v>
      </c>
      <c r="G528" s="1">
        <f t="shared" si="40"/>
        <v>-0.117262812873962</v>
      </c>
      <c r="X528" s="4">
        <f t="shared" si="41"/>
        <v>-0.00904351542416448</v>
      </c>
      <c r="Y528" s="4">
        <f t="shared" si="42"/>
        <v>-0.0649176885553471</v>
      </c>
      <c r="Z528" s="4">
        <f t="shared" si="39"/>
        <v>-0.0275030084745763</v>
      </c>
      <c r="AA528" s="4">
        <f t="shared" si="43"/>
        <v>-0.015798600419874</v>
      </c>
    </row>
    <row r="529" s="4" customFormat="1" ht="15" customHeight="1" spans="1:27">
      <c r="A529" s="6" t="s">
        <v>129</v>
      </c>
      <c r="B529" s="1">
        <v>59</v>
      </c>
      <c r="C529" s="1">
        <v>1.2255</v>
      </c>
      <c r="D529" s="1">
        <v>16.958</v>
      </c>
      <c r="E529" s="1">
        <v>0.3435</v>
      </c>
      <c r="F529" s="1">
        <v>2.108</v>
      </c>
      <c r="G529" s="1">
        <f t="shared" si="40"/>
        <v>-0.0731855237354731</v>
      </c>
      <c r="X529" s="4">
        <f t="shared" si="41"/>
        <v>0.0690734832904885</v>
      </c>
      <c r="Y529" s="4">
        <f t="shared" si="42"/>
        <v>-0.0762150243902439</v>
      </c>
      <c r="Z529" s="4">
        <f t="shared" si="39"/>
        <v>-0.0512793220338983</v>
      </c>
      <c r="AA529" s="4">
        <f t="shared" si="43"/>
        <v>-0.0147646606018195</v>
      </c>
    </row>
    <row r="530" s="4" customFormat="1" ht="15" customHeight="1" spans="1:27">
      <c r="A530" s="6" t="s">
        <v>129</v>
      </c>
      <c r="B530" s="1">
        <v>59</v>
      </c>
      <c r="C530" s="1">
        <v>1.2087</v>
      </c>
      <c r="D530" s="1">
        <v>16.944</v>
      </c>
      <c r="E530" s="1">
        <v>0.3913</v>
      </c>
      <c r="F530" s="1">
        <v>2.211</v>
      </c>
      <c r="G530" s="1">
        <f t="shared" si="40"/>
        <v>-0.0542925928480452</v>
      </c>
      <c r="X530" s="4">
        <f t="shared" si="41"/>
        <v>0.0562197557840619</v>
      </c>
      <c r="Y530" s="4">
        <f t="shared" si="42"/>
        <v>-0.0758357373358349</v>
      </c>
      <c r="Z530" s="4">
        <f t="shared" si="39"/>
        <v>-0.0156521186440678</v>
      </c>
      <c r="AA530" s="4">
        <f t="shared" si="43"/>
        <v>-0.0190244926522043</v>
      </c>
    </row>
    <row r="531" s="4" customFormat="1" ht="15" customHeight="1" spans="1:27">
      <c r="A531" s="6" t="s">
        <v>129</v>
      </c>
      <c r="B531" s="1">
        <v>59</v>
      </c>
      <c r="C531" s="1">
        <v>1.1355</v>
      </c>
      <c r="D531" s="1">
        <v>17.142</v>
      </c>
      <c r="E531" s="1">
        <v>0.3453</v>
      </c>
      <c r="F531" s="1">
        <v>2.119</v>
      </c>
      <c r="G531" s="1">
        <f t="shared" si="40"/>
        <v>-0.146143017156873</v>
      </c>
      <c r="X531" s="4">
        <f t="shared" si="41"/>
        <v>0.000214228791773823</v>
      </c>
      <c r="Y531" s="4">
        <f t="shared" si="42"/>
        <v>-0.0811999399624765</v>
      </c>
      <c r="Z531" s="4">
        <f t="shared" ref="Z531:Z576" si="44">(E531-U$2)/P$2*K$2</f>
        <v>-0.0499377118644068</v>
      </c>
      <c r="AA531" s="4">
        <f t="shared" si="43"/>
        <v>-0.0152195941217635</v>
      </c>
    </row>
    <row r="532" s="4" customFormat="1" ht="15" customHeight="1" spans="1:27">
      <c r="A532" s="6" t="s">
        <v>130</v>
      </c>
      <c r="B532" s="1">
        <v>60</v>
      </c>
      <c r="C532" s="1">
        <v>1.2161</v>
      </c>
      <c r="D532" s="1">
        <v>15.759</v>
      </c>
      <c r="E532" s="1">
        <v>0.4777</v>
      </c>
      <c r="F532" s="1">
        <v>1.854</v>
      </c>
      <c r="G532" s="1">
        <f t="shared" si="40"/>
        <v>0.0626350567772938</v>
      </c>
      <c r="X532" s="4">
        <f t="shared" si="41"/>
        <v>0.0618815167095116</v>
      </c>
      <c r="Y532" s="4">
        <f t="shared" si="42"/>
        <v>-0.0437317973733584</v>
      </c>
      <c r="Z532" s="4">
        <f t="shared" si="44"/>
        <v>0.0487451694915254</v>
      </c>
      <c r="AA532" s="4">
        <f t="shared" si="43"/>
        <v>-0.00425983205038489</v>
      </c>
    </row>
    <row r="533" s="4" customFormat="1" ht="15" customHeight="1" spans="1:27">
      <c r="A533" s="6" t="s">
        <v>130</v>
      </c>
      <c r="B533" s="1">
        <v>60</v>
      </c>
      <c r="C533" s="1">
        <v>1.2019</v>
      </c>
      <c r="D533" s="1">
        <v>14.553</v>
      </c>
      <c r="E533" s="1">
        <v>0.4515</v>
      </c>
      <c r="F533" s="1">
        <v>1.902</v>
      </c>
      <c r="G533" s="1">
        <f t="shared" si="40"/>
        <v>0.0629304213605452</v>
      </c>
      <c r="X533" s="4">
        <f t="shared" si="41"/>
        <v>0.05101705655527</v>
      </c>
      <c r="Y533" s="4">
        <f t="shared" si="42"/>
        <v>-0.0110589268292683</v>
      </c>
      <c r="Z533" s="4">
        <f t="shared" si="44"/>
        <v>0.0292172881355932</v>
      </c>
      <c r="AA533" s="4">
        <f t="shared" si="43"/>
        <v>-0.00624499650104969</v>
      </c>
    </row>
    <row r="534" s="4" customFormat="1" ht="15" customHeight="1" spans="1:27">
      <c r="A534" s="6" t="s">
        <v>130</v>
      </c>
      <c r="B534" s="1">
        <v>60</v>
      </c>
      <c r="C534" s="1">
        <v>1.2428</v>
      </c>
      <c r="D534" s="1">
        <v>13.213</v>
      </c>
      <c r="E534" s="1">
        <v>0.4022</v>
      </c>
      <c r="F534" s="1">
        <v>1.531</v>
      </c>
      <c r="G534" s="1">
        <f t="shared" si="40"/>
        <v>0.109124771545029</v>
      </c>
      <c r="X534" s="4">
        <f t="shared" si="41"/>
        <v>0.0823097622107969</v>
      </c>
      <c r="Y534" s="4">
        <f t="shared" si="42"/>
        <v>0.0252442626641651</v>
      </c>
      <c r="Z534" s="4">
        <f t="shared" si="44"/>
        <v>-0.00752792372881356</v>
      </c>
      <c r="AA534" s="4">
        <f t="shared" si="43"/>
        <v>0.00909867039888033</v>
      </c>
    </row>
    <row r="535" s="4" customFormat="1" ht="15" customHeight="1" spans="1:27">
      <c r="A535" s="6" t="s">
        <v>130</v>
      </c>
      <c r="B535" s="1">
        <v>60</v>
      </c>
      <c r="C535" s="1">
        <v>1.2873</v>
      </c>
      <c r="D535" s="1">
        <v>13.949</v>
      </c>
      <c r="E535" s="1">
        <v>0.4669</v>
      </c>
      <c r="F535" s="1">
        <v>1.779</v>
      </c>
      <c r="G535" s="1">
        <f t="shared" si="40"/>
        <v>0.161198934299862</v>
      </c>
      <c r="X535" s="4">
        <f t="shared" si="41"/>
        <v>0.116356838046273</v>
      </c>
      <c r="Y535" s="4">
        <f t="shared" si="42"/>
        <v>0.00530460037523453</v>
      </c>
      <c r="Z535" s="4">
        <f t="shared" si="44"/>
        <v>0.0406955084745763</v>
      </c>
      <c r="AA535" s="4">
        <f t="shared" si="43"/>
        <v>-0.00115801259622113</v>
      </c>
    </row>
    <row r="536" s="4" customFormat="1" ht="15" customHeight="1" spans="1:27">
      <c r="A536" s="6" t="s">
        <v>130</v>
      </c>
      <c r="B536" s="1">
        <v>60</v>
      </c>
      <c r="C536" s="1">
        <v>1.1899</v>
      </c>
      <c r="D536" s="1">
        <v>13.077</v>
      </c>
      <c r="E536" s="1">
        <v>0.3807</v>
      </c>
      <c r="F536" s="1">
        <v>1.706</v>
      </c>
      <c r="G536" s="1">
        <f t="shared" si="40"/>
        <v>0.0490729679086235</v>
      </c>
      <c r="X536" s="4">
        <f t="shared" si="41"/>
        <v>0.041835822622108</v>
      </c>
      <c r="Y536" s="4">
        <f t="shared" si="42"/>
        <v>0.028928765478424</v>
      </c>
      <c r="Z536" s="4">
        <f t="shared" si="44"/>
        <v>-0.0235527118644068</v>
      </c>
      <c r="AA536" s="4">
        <f t="shared" si="43"/>
        <v>0.00186109167249825</v>
      </c>
    </row>
    <row r="537" s="4" customFormat="1" ht="15" customHeight="1" spans="1:27">
      <c r="A537" s="6" t="s">
        <v>130</v>
      </c>
      <c r="B537" s="1">
        <v>60</v>
      </c>
      <c r="C537" s="1">
        <v>1.2372</v>
      </c>
      <c r="D537" s="1">
        <v>13.466</v>
      </c>
      <c r="E537" s="1">
        <v>0.4399</v>
      </c>
      <c r="F537" s="1">
        <v>1.802</v>
      </c>
      <c r="G537" s="1">
        <f t="shared" si="40"/>
        <v>0.114877308831039</v>
      </c>
      <c r="X537" s="4">
        <f t="shared" si="41"/>
        <v>0.0780251863753215</v>
      </c>
      <c r="Y537" s="4">
        <f t="shared" si="42"/>
        <v>0.0183900037523452</v>
      </c>
      <c r="Z537" s="4">
        <f t="shared" si="44"/>
        <v>0.0205713559322034</v>
      </c>
      <c r="AA537" s="4">
        <f t="shared" si="43"/>
        <v>-0.00210923722883136</v>
      </c>
    </row>
    <row r="538" s="4" customFormat="1" ht="15" customHeight="1" spans="1:27">
      <c r="A538" s="6" t="s">
        <v>130</v>
      </c>
      <c r="B538" s="1">
        <v>60</v>
      </c>
      <c r="C538" s="1">
        <v>1.2026</v>
      </c>
      <c r="D538" s="1">
        <v>15.159</v>
      </c>
      <c r="E538" s="1">
        <v>0.4788</v>
      </c>
      <c r="F538" s="1">
        <v>1.878</v>
      </c>
      <c r="G538" s="1">
        <f t="shared" si="40"/>
        <v>0.0683886187331817</v>
      </c>
      <c r="X538" s="4">
        <f t="shared" si="41"/>
        <v>0.0515526285347044</v>
      </c>
      <c r="Y538" s="4">
        <f t="shared" si="42"/>
        <v>-0.0274766378986867</v>
      </c>
      <c r="Z538" s="4">
        <f t="shared" si="44"/>
        <v>0.0495650423728814</v>
      </c>
      <c r="AA538" s="4">
        <f t="shared" si="43"/>
        <v>-0.00525241427571728</v>
      </c>
    </row>
    <row r="539" s="4" customFormat="1" ht="15" customHeight="1" spans="1:27">
      <c r="A539" s="6" t="s">
        <v>130</v>
      </c>
      <c r="B539" s="1">
        <v>60</v>
      </c>
      <c r="C539" s="1">
        <v>1.2306</v>
      </c>
      <c r="D539" s="1">
        <v>14.165</v>
      </c>
      <c r="E539" s="1">
        <v>0.4602</v>
      </c>
      <c r="F539" s="1">
        <v>1.773</v>
      </c>
      <c r="G539" s="1">
        <f t="shared" si="40"/>
        <v>0.107220120924683</v>
      </c>
      <c r="X539" s="4">
        <f t="shared" si="41"/>
        <v>0.0729755077120823</v>
      </c>
      <c r="Y539" s="4">
        <f t="shared" si="42"/>
        <v>-0.000547257035647255</v>
      </c>
      <c r="Z539" s="4">
        <f t="shared" si="44"/>
        <v>0.0357017372881356</v>
      </c>
      <c r="AA539" s="4">
        <f t="shared" si="43"/>
        <v>-0.000909867039888034</v>
      </c>
    </row>
    <row r="540" s="4" customFormat="1" ht="15" customHeight="1" spans="1:27">
      <c r="A540" s="6" t="s">
        <v>130</v>
      </c>
      <c r="B540" s="1">
        <v>60</v>
      </c>
      <c r="C540" s="1">
        <v>1.12</v>
      </c>
      <c r="D540" s="1">
        <v>13.433</v>
      </c>
      <c r="E540" s="1">
        <v>0.4476</v>
      </c>
      <c r="F540" s="1">
        <v>1.644</v>
      </c>
      <c r="G540" s="1">
        <f t="shared" si="40"/>
        <v>0.0383749010078604</v>
      </c>
      <c r="X540" s="4">
        <f t="shared" si="41"/>
        <v>-0.0116448650385602</v>
      </c>
      <c r="Y540" s="4">
        <f t="shared" si="42"/>
        <v>0.0192840375234522</v>
      </c>
      <c r="Z540" s="4">
        <f t="shared" si="44"/>
        <v>0.0263104661016949</v>
      </c>
      <c r="AA540" s="4">
        <f t="shared" si="43"/>
        <v>0.00442526242127362</v>
      </c>
    </row>
    <row r="541" s="4" customFormat="1" ht="15" customHeight="1" spans="1:27">
      <c r="A541" s="6" t="s">
        <v>131</v>
      </c>
      <c r="B541" s="1">
        <v>61</v>
      </c>
      <c r="C541" s="1">
        <v>1.3731</v>
      </c>
      <c r="D541" s="1">
        <v>13.275</v>
      </c>
      <c r="E541" s="1">
        <v>0.4485</v>
      </c>
      <c r="F541" s="1">
        <v>1.652</v>
      </c>
      <c r="G541" s="1">
        <f t="shared" si="40"/>
        <v>0.2366428963861</v>
      </c>
      <c r="X541" s="4">
        <f t="shared" si="41"/>
        <v>0.182002660668381</v>
      </c>
      <c r="Y541" s="4">
        <f t="shared" si="42"/>
        <v>0.0235645628517824</v>
      </c>
      <c r="Z541" s="4">
        <f t="shared" si="44"/>
        <v>0.0269812711864407</v>
      </c>
      <c r="AA541" s="4">
        <f t="shared" si="43"/>
        <v>0.00409440167949615</v>
      </c>
    </row>
    <row r="542" s="4" customFormat="1" ht="15" customHeight="1" spans="1:27">
      <c r="A542" s="6" t="s">
        <v>131</v>
      </c>
      <c r="B542" s="1">
        <v>61</v>
      </c>
      <c r="C542" s="1">
        <v>1.3494</v>
      </c>
      <c r="D542" s="1">
        <v>14.922</v>
      </c>
      <c r="E542" s="1">
        <v>0.4882</v>
      </c>
      <c r="F542" s="1">
        <v>1.874</v>
      </c>
      <c r="G542" s="1">
        <f t="shared" si="40"/>
        <v>0.194298118652925</v>
      </c>
      <c r="X542" s="4">
        <f t="shared" si="41"/>
        <v>0.163869723650386</v>
      </c>
      <c r="Y542" s="4">
        <f t="shared" si="42"/>
        <v>-0.0210558499061914</v>
      </c>
      <c r="Z542" s="4">
        <f t="shared" si="44"/>
        <v>0.0565712288135593</v>
      </c>
      <c r="AA542" s="4">
        <f t="shared" si="43"/>
        <v>-0.00508698390482856</v>
      </c>
    </row>
    <row r="543" s="4" customFormat="1" ht="15" customHeight="1" spans="1:27">
      <c r="A543" s="6" t="s">
        <v>131</v>
      </c>
      <c r="B543" s="1">
        <v>61</v>
      </c>
      <c r="C543" s="1">
        <v>1.4044</v>
      </c>
      <c r="D543" s="1">
        <v>14.235</v>
      </c>
      <c r="E543" s="1">
        <v>0.441</v>
      </c>
      <c r="F543" s="1">
        <v>1.918</v>
      </c>
      <c r="G543" s="1">
        <f t="shared" si="40"/>
        <v>0.21799119769864</v>
      </c>
      <c r="X543" s="4">
        <f t="shared" si="41"/>
        <v>0.205950379177378</v>
      </c>
      <c r="Y543" s="4">
        <f t="shared" si="42"/>
        <v>-0.00244369230769229</v>
      </c>
      <c r="Z543" s="4">
        <f t="shared" si="44"/>
        <v>0.0213912288135593</v>
      </c>
      <c r="AA543" s="4">
        <f t="shared" si="43"/>
        <v>-0.00690671798460462</v>
      </c>
    </row>
    <row r="544" s="4" customFormat="1" ht="15" customHeight="1" spans="1:27">
      <c r="A544" s="6" t="s">
        <v>131</v>
      </c>
      <c r="B544" s="1">
        <v>61</v>
      </c>
      <c r="C544" s="1">
        <v>1.374</v>
      </c>
      <c r="D544" s="1">
        <v>12.116</v>
      </c>
      <c r="E544" s="1">
        <v>0.4878</v>
      </c>
      <c r="F544" s="1">
        <v>1.586</v>
      </c>
      <c r="G544" s="1">
        <f t="shared" si="40"/>
        <v>0.300752461803224</v>
      </c>
      <c r="X544" s="4">
        <f t="shared" si="41"/>
        <v>0.182691253213368</v>
      </c>
      <c r="Y544" s="4">
        <f t="shared" si="42"/>
        <v>0.0549641125703565</v>
      </c>
      <c r="Z544" s="4">
        <f t="shared" si="44"/>
        <v>0.056273093220339</v>
      </c>
      <c r="AA544" s="4">
        <f t="shared" si="43"/>
        <v>0.00682400279916024</v>
      </c>
    </row>
    <row r="545" s="4" customFormat="1" ht="15" customHeight="1" spans="1:27">
      <c r="A545" s="6" t="s">
        <v>131</v>
      </c>
      <c r="B545" s="1">
        <v>61</v>
      </c>
      <c r="C545" s="1">
        <v>1.3041</v>
      </c>
      <c r="D545" s="1">
        <v>14.369</v>
      </c>
      <c r="E545" s="1">
        <v>0.4671</v>
      </c>
      <c r="F545" s="1">
        <v>1.754</v>
      </c>
      <c r="G545" s="1">
        <f t="shared" si="40"/>
        <v>0.163857057788684</v>
      </c>
      <c r="X545" s="4">
        <f t="shared" si="41"/>
        <v>0.129210565552699</v>
      </c>
      <c r="Y545" s="4">
        <f t="shared" si="42"/>
        <v>-0.00607401125703564</v>
      </c>
      <c r="Z545" s="4">
        <f t="shared" si="44"/>
        <v>0.0408445762711865</v>
      </c>
      <c r="AA545" s="4">
        <f t="shared" si="43"/>
        <v>-0.000124072778166555</v>
      </c>
    </row>
    <row r="546" s="4" customFormat="1" ht="15" customHeight="1" spans="1:27">
      <c r="A546" s="6" t="s">
        <v>131</v>
      </c>
      <c r="B546" s="1">
        <v>61</v>
      </c>
      <c r="C546" s="1">
        <v>1.3559</v>
      </c>
      <c r="D546" s="1">
        <v>12.917</v>
      </c>
      <c r="E546" s="1">
        <v>0.3939</v>
      </c>
      <c r="F546" s="1">
        <v>1.623</v>
      </c>
      <c r="G546" s="1">
        <f t="shared" si="40"/>
        <v>0.193685901282822</v>
      </c>
      <c r="X546" s="4">
        <f t="shared" si="41"/>
        <v>0.168842892030848</v>
      </c>
      <c r="Y546" s="4">
        <f t="shared" si="42"/>
        <v>0.0332634746716698</v>
      </c>
      <c r="Z546" s="4">
        <f t="shared" si="44"/>
        <v>-0.0137142372881356</v>
      </c>
      <c r="AA546" s="4">
        <f t="shared" si="43"/>
        <v>0.00529377186843946</v>
      </c>
    </row>
    <row r="547" s="4" customFormat="1" ht="15" customHeight="1" spans="1:27">
      <c r="A547" s="6" t="s">
        <v>131</v>
      </c>
      <c r="B547" s="1">
        <v>61</v>
      </c>
      <c r="C547" s="1">
        <v>1.2929</v>
      </c>
      <c r="D547" s="1">
        <v>14.346</v>
      </c>
      <c r="E547" s="1">
        <v>0.3617</v>
      </c>
      <c r="F547" s="1">
        <v>1.68</v>
      </c>
      <c r="G547" s="1">
        <f t="shared" si="40"/>
        <v>0.0804127536121437</v>
      </c>
      <c r="X547" s="4">
        <f t="shared" si="41"/>
        <v>0.120641413881748</v>
      </c>
      <c r="Y547" s="4">
        <f t="shared" si="42"/>
        <v>-0.00545089681050657</v>
      </c>
      <c r="Z547" s="4">
        <f t="shared" si="44"/>
        <v>-0.0377141525423729</v>
      </c>
      <c r="AA547" s="4">
        <f t="shared" si="43"/>
        <v>0.00293638908327502</v>
      </c>
    </row>
    <row r="548" s="4" customFormat="1" ht="15" customHeight="1" spans="1:27">
      <c r="A548" s="6" t="s">
        <v>131</v>
      </c>
      <c r="B548" s="1">
        <v>61</v>
      </c>
      <c r="C548" s="1">
        <v>1.3412</v>
      </c>
      <c r="D548" s="1">
        <v>13.273</v>
      </c>
      <c r="E548" s="1">
        <v>0.4732</v>
      </c>
      <c r="F548" s="1">
        <v>1.67</v>
      </c>
      <c r="G548" s="1">
        <f t="shared" si="40"/>
        <v>0.229955736257716</v>
      </c>
      <c r="X548" s="4">
        <f t="shared" si="41"/>
        <v>0.157595880462725</v>
      </c>
      <c r="Y548" s="4">
        <f t="shared" si="42"/>
        <v>0.0236187467166979</v>
      </c>
      <c r="Z548" s="4">
        <f t="shared" si="44"/>
        <v>0.0453911440677966</v>
      </c>
      <c r="AA548" s="4">
        <f t="shared" si="43"/>
        <v>0.00334996501049685</v>
      </c>
    </row>
    <row r="549" s="4" customFormat="1" ht="15" customHeight="1" spans="1:27">
      <c r="A549" s="6" t="s">
        <v>131</v>
      </c>
      <c r="B549" s="1">
        <v>61</v>
      </c>
      <c r="C549" s="1">
        <v>1.2835</v>
      </c>
      <c r="D549" s="1">
        <v>13.093</v>
      </c>
      <c r="E549" s="1">
        <v>0.4121</v>
      </c>
      <c r="F549" s="1">
        <v>1.598</v>
      </c>
      <c r="G549" s="1">
        <f t="shared" si="40"/>
        <v>0.148123385749755</v>
      </c>
      <c r="X549" s="4">
        <f t="shared" si="41"/>
        <v>0.113449447300771</v>
      </c>
      <c r="Y549" s="4">
        <f t="shared" si="42"/>
        <v>0.0284952945590994</v>
      </c>
      <c r="Z549" s="4">
        <f t="shared" si="44"/>
        <v>-0.000149067796610153</v>
      </c>
      <c r="AA549" s="4">
        <f t="shared" si="43"/>
        <v>0.00632771168649404</v>
      </c>
    </row>
    <row r="550" s="4" customFormat="1" ht="15" customHeight="1" spans="1:27">
      <c r="A550" s="6" t="s">
        <v>132</v>
      </c>
      <c r="B550" s="1">
        <v>62</v>
      </c>
      <c r="C550" s="1">
        <v>1.2152</v>
      </c>
      <c r="D550" s="1">
        <v>16.536</v>
      </c>
      <c r="E550" s="1">
        <v>0.3765</v>
      </c>
      <c r="F550" s="1">
        <v>2.073</v>
      </c>
      <c r="G550" s="1">
        <f t="shared" si="40"/>
        <v>-0.043589585178297</v>
      </c>
      <c r="X550" s="4">
        <f t="shared" si="41"/>
        <v>0.0611929241645245</v>
      </c>
      <c r="Y550" s="4">
        <f t="shared" si="42"/>
        <v>-0.0647822288930582</v>
      </c>
      <c r="Z550" s="4">
        <f t="shared" si="44"/>
        <v>-0.0266831355932203</v>
      </c>
      <c r="AA550" s="4">
        <f t="shared" si="43"/>
        <v>-0.013317144856543</v>
      </c>
    </row>
    <row r="551" s="4" customFormat="1" ht="15" customHeight="1" spans="1:27">
      <c r="A551" s="6" t="s">
        <v>132</v>
      </c>
      <c r="B551" s="1">
        <v>62</v>
      </c>
      <c r="C551" s="1">
        <v>1.1268</v>
      </c>
      <c r="D551" s="1">
        <v>13.235</v>
      </c>
      <c r="E551" s="1">
        <v>0.4039</v>
      </c>
      <c r="F551" s="1">
        <v>1.739</v>
      </c>
      <c r="G551" s="1">
        <f t="shared" si="40"/>
        <v>0.0124415179953643</v>
      </c>
      <c r="X551" s="4">
        <f t="shared" si="41"/>
        <v>-0.00644216580976854</v>
      </c>
      <c r="Y551" s="4">
        <f t="shared" si="42"/>
        <v>0.0246482401500938</v>
      </c>
      <c r="Z551" s="4">
        <f t="shared" si="44"/>
        <v>-0.00626084745762713</v>
      </c>
      <c r="AA551" s="4">
        <f t="shared" si="43"/>
        <v>0.000496291112666191</v>
      </c>
    </row>
    <row r="552" s="4" customFormat="1" ht="15" customHeight="1" spans="1:27">
      <c r="A552" s="6" t="s">
        <v>132</v>
      </c>
      <c r="B552" s="1">
        <v>62</v>
      </c>
      <c r="C552" s="1">
        <v>1.2507</v>
      </c>
      <c r="D552" s="1">
        <v>15.709</v>
      </c>
      <c r="E552" s="1">
        <v>0.3813</v>
      </c>
      <c r="F552" s="1">
        <v>1.876</v>
      </c>
      <c r="G552" s="1">
        <f t="shared" si="40"/>
        <v>0.0177016662348103</v>
      </c>
      <c r="X552" s="4">
        <f t="shared" si="41"/>
        <v>0.0883540745501285</v>
      </c>
      <c r="Y552" s="4">
        <f t="shared" si="42"/>
        <v>-0.042377200750469</v>
      </c>
      <c r="Z552" s="4">
        <f t="shared" si="44"/>
        <v>-0.0231055084745763</v>
      </c>
      <c r="AA552" s="4">
        <f t="shared" si="43"/>
        <v>-0.00516969909027292</v>
      </c>
    </row>
    <row r="553" s="4" customFormat="1" ht="15" customHeight="1" spans="1:27">
      <c r="A553" s="6" t="s">
        <v>132</v>
      </c>
      <c r="B553" s="1">
        <v>62</v>
      </c>
      <c r="C553" s="1">
        <v>1.2326</v>
      </c>
      <c r="D553" s="1">
        <v>16.266</v>
      </c>
      <c r="E553" s="1">
        <v>0.3781</v>
      </c>
      <c r="F553" s="1">
        <v>2.114</v>
      </c>
      <c r="G553" s="1">
        <f t="shared" si="40"/>
        <v>-0.0234650931403382</v>
      </c>
      <c r="X553" s="4">
        <f t="shared" si="41"/>
        <v>0.0745057133676093</v>
      </c>
      <c r="Y553" s="4">
        <f t="shared" si="42"/>
        <v>-0.0574674071294559</v>
      </c>
      <c r="Z553" s="4">
        <f t="shared" si="44"/>
        <v>-0.025490593220339</v>
      </c>
      <c r="AA553" s="4">
        <f t="shared" si="43"/>
        <v>-0.0150128061581526</v>
      </c>
    </row>
    <row r="554" s="4" customFormat="1" ht="15" customHeight="1" spans="1:27">
      <c r="A554" s="6" t="s">
        <v>132</v>
      </c>
      <c r="B554" s="1">
        <v>62</v>
      </c>
      <c r="C554" s="1">
        <v>1.2155</v>
      </c>
      <c r="D554" s="1">
        <v>14.557</v>
      </c>
      <c r="E554" s="1">
        <v>0.3763</v>
      </c>
      <c r="F554" s="1">
        <v>1.808</v>
      </c>
      <c r="G554" s="1">
        <f t="shared" si="40"/>
        <v>0.0210655742787592</v>
      </c>
      <c r="X554" s="4">
        <f t="shared" si="41"/>
        <v>0.0614224550128536</v>
      </c>
      <c r="Y554" s="4">
        <f t="shared" si="42"/>
        <v>-0.0111672945590994</v>
      </c>
      <c r="Z554" s="4">
        <f t="shared" si="44"/>
        <v>-0.0268322033898305</v>
      </c>
      <c r="AA554" s="4">
        <f t="shared" si="43"/>
        <v>-0.00235738278516446</v>
      </c>
    </row>
    <row r="555" s="4" customFormat="1" ht="15" customHeight="1" spans="1:27">
      <c r="A555" s="6" t="s">
        <v>132</v>
      </c>
      <c r="B555" s="1">
        <v>62</v>
      </c>
      <c r="C555" s="1">
        <v>1.1815</v>
      </c>
      <c r="D555" s="1">
        <v>17.083</v>
      </c>
      <c r="E555" s="1">
        <v>0.3807</v>
      </c>
      <c r="F555" s="1">
        <v>1.803</v>
      </c>
      <c r="G555" s="1">
        <f t="shared" si="40"/>
        <v>-0.0698958637645328</v>
      </c>
      <c r="X555" s="4">
        <f t="shared" si="41"/>
        <v>0.0354089588688947</v>
      </c>
      <c r="Y555" s="4">
        <f t="shared" si="42"/>
        <v>-0.0796015159474671</v>
      </c>
      <c r="Z555" s="4">
        <f t="shared" si="44"/>
        <v>-0.0235527118644068</v>
      </c>
      <c r="AA555" s="4">
        <f t="shared" si="43"/>
        <v>-0.00215059482155354</v>
      </c>
    </row>
    <row r="556" s="4" customFormat="1" ht="15" customHeight="1" spans="1:27">
      <c r="A556" s="6" t="s">
        <v>132</v>
      </c>
      <c r="B556" s="1">
        <v>62</v>
      </c>
      <c r="C556" s="1">
        <v>1.1239</v>
      </c>
      <c r="D556" s="1">
        <v>15.773</v>
      </c>
      <c r="E556" s="1">
        <v>0.3722</v>
      </c>
      <c r="F556" s="1">
        <v>2.05</v>
      </c>
      <c r="G556" s="1">
        <f t="shared" si="40"/>
        <v>-0.0950260618823219</v>
      </c>
      <c r="X556" s="4">
        <f t="shared" si="41"/>
        <v>-0.00866096401028277</v>
      </c>
      <c r="Y556" s="4">
        <f t="shared" si="42"/>
        <v>-0.0441110844277673</v>
      </c>
      <c r="Z556" s="4">
        <f t="shared" si="44"/>
        <v>-0.029888093220339</v>
      </c>
      <c r="AA556" s="4">
        <f t="shared" si="43"/>
        <v>-0.0123659202239328</v>
      </c>
    </row>
    <row r="557" s="4" customFormat="1" ht="15" customHeight="1" spans="1:27">
      <c r="A557" s="6" t="s">
        <v>132</v>
      </c>
      <c r="B557" s="1">
        <v>62</v>
      </c>
      <c r="C557" s="1">
        <v>1.1199</v>
      </c>
      <c r="D557" s="1">
        <v>14.112</v>
      </c>
      <c r="E557" s="1">
        <v>0.3788</v>
      </c>
      <c r="F557" s="1">
        <v>1.889</v>
      </c>
      <c r="G557" s="1">
        <f t="shared" si="40"/>
        <v>-0.0415089636645861</v>
      </c>
      <c r="X557" s="4">
        <f t="shared" si="41"/>
        <v>-0.0117213753213368</v>
      </c>
      <c r="Y557" s="4">
        <f t="shared" si="42"/>
        <v>0.000888615384615383</v>
      </c>
      <c r="Z557" s="4">
        <f t="shared" si="44"/>
        <v>-0.0249688559322034</v>
      </c>
      <c r="AA557" s="4">
        <f t="shared" si="43"/>
        <v>-0.00570734779566131</v>
      </c>
    </row>
    <row r="558" s="4" customFormat="1" ht="15" customHeight="1" spans="1:27">
      <c r="A558" s="6" t="s">
        <v>132</v>
      </c>
      <c r="B558" s="1">
        <v>62</v>
      </c>
      <c r="C558" s="1">
        <v>1.2232</v>
      </c>
      <c r="D558" s="1">
        <v>15.389</v>
      </c>
      <c r="E558" s="1">
        <v>0.3769</v>
      </c>
      <c r="F558" s="1">
        <v>1.989</v>
      </c>
      <c r="G558" s="1">
        <f t="shared" si="40"/>
        <v>-0.0026221426452246</v>
      </c>
      <c r="X558" s="4">
        <f t="shared" si="41"/>
        <v>0.0673137467866325</v>
      </c>
      <c r="Y558" s="4">
        <f t="shared" si="42"/>
        <v>-0.0337077823639775</v>
      </c>
      <c r="Z558" s="4">
        <f t="shared" si="44"/>
        <v>-0.026385</v>
      </c>
      <c r="AA558" s="4">
        <f t="shared" si="43"/>
        <v>-0.00984310706787964</v>
      </c>
    </row>
    <row r="559" s="4" customFormat="1" ht="15" customHeight="1" spans="1:27">
      <c r="A559" s="6" t="s">
        <v>133</v>
      </c>
      <c r="B559" s="1">
        <v>63</v>
      </c>
      <c r="C559" s="1">
        <v>1.2115</v>
      </c>
      <c r="D559" s="1">
        <v>16.334</v>
      </c>
      <c r="E559" s="1">
        <v>0.3336</v>
      </c>
      <c r="F559" s="1">
        <v>2.13</v>
      </c>
      <c r="G559" s="1">
        <f t="shared" si="40"/>
        <v>-0.075280320442595</v>
      </c>
      <c r="X559" s="4">
        <f t="shared" si="41"/>
        <v>0.0583620437017996</v>
      </c>
      <c r="Y559" s="4">
        <f t="shared" si="42"/>
        <v>-0.0593096585365854</v>
      </c>
      <c r="Z559" s="4">
        <f t="shared" si="44"/>
        <v>-0.0586581779661017</v>
      </c>
      <c r="AA559" s="4">
        <f t="shared" si="43"/>
        <v>-0.0156745276417075</v>
      </c>
    </row>
    <row r="560" s="4" customFormat="1" ht="15" customHeight="1" spans="1:27">
      <c r="A560" s="6" t="s">
        <v>133</v>
      </c>
      <c r="B560" s="1">
        <v>63</v>
      </c>
      <c r="C560" s="1">
        <v>1.2079</v>
      </c>
      <c r="D560" s="1">
        <v>17.189</v>
      </c>
      <c r="E560" s="1">
        <v>0.4555</v>
      </c>
      <c r="F560" s="1">
        <v>2.175</v>
      </c>
      <c r="G560" s="1">
        <f t="shared" si="40"/>
        <v>-0.0122025625125507</v>
      </c>
      <c r="X560" s="4">
        <f t="shared" si="41"/>
        <v>0.055607673521851</v>
      </c>
      <c r="Y560" s="4">
        <f t="shared" si="42"/>
        <v>-0.0824732607879925</v>
      </c>
      <c r="Z560" s="4">
        <f t="shared" si="44"/>
        <v>0.0321986440677966</v>
      </c>
      <c r="AA560" s="4">
        <f t="shared" si="43"/>
        <v>-0.0175356193142057</v>
      </c>
    </row>
    <row r="561" s="4" customFormat="1" ht="15" customHeight="1" spans="1:27">
      <c r="A561" s="6" t="s">
        <v>133</v>
      </c>
      <c r="B561" s="1">
        <v>63</v>
      </c>
      <c r="C561" s="1">
        <v>1.2228</v>
      </c>
      <c r="D561" s="1">
        <v>15.885</v>
      </c>
      <c r="E561" s="1">
        <v>0.4058</v>
      </c>
      <c r="F561" s="1">
        <v>1.996</v>
      </c>
      <c r="G561" s="1">
        <f t="shared" si="40"/>
        <v>0.00488501118572231</v>
      </c>
      <c r="X561" s="4">
        <f t="shared" si="41"/>
        <v>0.0670077056555271</v>
      </c>
      <c r="Y561" s="4">
        <f t="shared" si="42"/>
        <v>-0.0471453808630394</v>
      </c>
      <c r="Z561" s="4">
        <f t="shared" si="44"/>
        <v>-0.00484470338983051</v>
      </c>
      <c r="AA561" s="4">
        <f t="shared" si="43"/>
        <v>-0.0101326102169349</v>
      </c>
    </row>
    <row r="562" s="4" customFormat="1" ht="15" customHeight="1" spans="1:27">
      <c r="A562" s="6" t="s">
        <v>133</v>
      </c>
      <c r="B562" s="1">
        <v>63</v>
      </c>
      <c r="C562" s="1">
        <v>1.3138</v>
      </c>
      <c r="D562" s="1">
        <v>17.292</v>
      </c>
      <c r="E562" s="1">
        <v>0.4226</v>
      </c>
      <c r="F562" s="1">
        <v>2.217</v>
      </c>
      <c r="G562" s="1">
        <f t="shared" si="40"/>
        <v>0.039772686467747</v>
      </c>
      <c r="X562" s="4">
        <f t="shared" si="41"/>
        <v>0.136632062982005</v>
      </c>
      <c r="Y562" s="4">
        <f t="shared" si="42"/>
        <v>-0.0852637298311445</v>
      </c>
      <c r="Z562" s="4">
        <f t="shared" si="44"/>
        <v>0.00767699152542371</v>
      </c>
      <c r="AA562" s="4">
        <f t="shared" si="43"/>
        <v>-0.0192726382085374</v>
      </c>
    </row>
    <row r="563" s="4" customFormat="1" ht="15" customHeight="1" spans="1:27">
      <c r="A563" s="6" t="s">
        <v>133</v>
      </c>
      <c r="B563" s="1">
        <v>63</v>
      </c>
      <c r="C563" s="1">
        <v>1.3207</v>
      </c>
      <c r="D563" s="1">
        <v>17.704</v>
      </c>
      <c r="E563" s="1">
        <v>0.3723</v>
      </c>
      <c r="F563" s="1">
        <v>2.046</v>
      </c>
      <c r="G563" s="1">
        <f t="shared" si="40"/>
        <v>0.003471617314743</v>
      </c>
      <c r="X563" s="4">
        <f t="shared" si="41"/>
        <v>0.141911272493573</v>
      </c>
      <c r="Y563" s="4">
        <f t="shared" si="42"/>
        <v>-0.0964256060037524</v>
      </c>
      <c r="Z563" s="4">
        <f t="shared" si="44"/>
        <v>-0.0298135593220339</v>
      </c>
      <c r="AA563" s="4">
        <f t="shared" si="43"/>
        <v>-0.0122004898530441</v>
      </c>
    </row>
    <row r="564" s="4" customFormat="1" ht="15" customHeight="1" spans="1:27">
      <c r="A564" s="6" t="s">
        <v>133</v>
      </c>
      <c r="B564" s="1">
        <v>63</v>
      </c>
      <c r="C564" s="1">
        <v>1.2083</v>
      </c>
      <c r="D564" s="1">
        <v>17.732</v>
      </c>
      <c r="E564" s="1">
        <v>0.3702</v>
      </c>
      <c r="F564" s="1">
        <v>2.136</v>
      </c>
      <c r="G564" s="1">
        <f t="shared" si="40"/>
        <v>-0.0885719098440953</v>
      </c>
      <c r="X564" s="4">
        <f t="shared" si="41"/>
        <v>0.0559137146529563</v>
      </c>
      <c r="Y564" s="4">
        <f t="shared" si="42"/>
        <v>-0.0971841801125703</v>
      </c>
      <c r="Z564" s="4">
        <f t="shared" si="44"/>
        <v>-0.0313787711864407</v>
      </c>
      <c r="AA564" s="4">
        <f t="shared" si="43"/>
        <v>-0.0159226731980406</v>
      </c>
    </row>
    <row r="565" s="4" customFormat="1" ht="15" customHeight="1" spans="1:27">
      <c r="A565" s="6" t="s">
        <v>133</v>
      </c>
      <c r="B565" s="1">
        <v>63</v>
      </c>
      <c r="C565" s="1">
        <v>1.2439</v>
      </c>
      <c r="D565" s="1">
        <v>16.279</v>
      </c>
      <c r="E565" s="1">
        <v>0.4573</v>
      </c>
      <c r="F565" s="1">
        <v>2.133</v>
      </c>
      <c r="G565" s="1">
        <f t="shared" si="40"/>
        <v>0.0430734268873438</v>
      </c>
      <c r="X565" s="4">
        <f t="shared" si="41"/>
        <v>0.0831513753213368</v>
      </c>
      <c r="Y565" s="4">
        <f t="shared" si="42"/>
        <v>-0.0578196022514071</v>
      </c>
      <c r="Z565" s="4">
        <f t="shared" si="44"/>
        <v>0.0335402542372881</v>
      </c>
      <c r="AA565" s="4">
        <f t="shared" si="43"/>
        <v>-0.015798600419874</v>
      </c>
    </row>
    <row r="566" s="4" customFormat="1" ht="15" customHeight="1" spans="1:27">
      <c r="A566" s="6" t="s">
        <v>133</v>
      </c>
      <c r="B566" s="1">
        <v>63</v>
      </c>
      <c r="C566" s="1">
        <v>1.2053</v>
      </c>
      <c r="D566" s="1">
        <v>16.034</v>
      </c>
      <c r="E566" s="1">
        <v>0.4254</v>
      </c>
      <c r="F566" s="1">
        <v>2.083</v>
      </c>
      <c r="G566" s="1">
        <f t="shared" si="40"/>
        <v>-0.00153045273538237</v>
      </c>
      <c r="X566" s="4">
        <f t="shared" si="41"/>
        <v>0.0536184061696659</v>
      </c>
      <c r="Y566" s="4">
        <f t="shared" si="42"/>
        <v>-0.0511820787992495</v>
      </c>
      <c r="Z566" s="4">
        <f t="shared" si="44"/>
        <v>0.0097639406779661</v>
      </c>
      <c r="AA566" s="4">
        <f t="shared" si="43"/>
        <v>-0.0137307207837649</v>
      </c>
    </row>
    <row r="567" s="4" customFormat="1" ht="15" customHeight="1" spans="1:27">
      <c r="A567" s="6" t="s">
        <v>133</v>
      </c>
      <c r="B567" s="1">
        <v>63</v>
      </c>
      <c r="C567" s="1">
        <v>1.2501</v>
      </c>
      <c r="D567" s="1">
        <v>15.531</v>
      </c>
      <c r="E567" s="1">
        <v>0.4157</v>
      </c>
      <c r="F567" s="1">
        <v>1.924</v>
      </c>
      <c r="G567" s="1">
        <f t="shared" si="40"/>
        <v>0.0457194650819226</v>
      </c>
      <c r="X567" s="4">
        <f t="shared" si="41"/>
        <v>0.0878950128534705</v>
      </c>
      <c r="Y567" s="4">
        <f t="shared" si="42"/>
        <v>-0.0375548367729831</v>
      </c>
      <c r="Z567" s="4">
        <f t="shared" si="44"/>
        <v>0.00253415254237289</v>
      </c>
      <c r="AA567" s="4">
        <f t="shared" si="43"/>
        <v>-0.00715486354093772</v>
      </c>
    </row>
    <row r="568" s="4" customFormat="1" ht="15" customHeight="1" spans="1:27">
      <c r="A568" s="6" t="s">
        <v>134</v>
      </c>
      <c r="B568" s="1">
        <v>64</v>
      </c>
      <c r="C568" s="1">
        <v>1.1959</v>
      </c>
      <c r="D568" s="1">
        <v>15.169</v>
      </c>
      <c r="E568" s="1">
        <v>0.353</v>
      </c>
      <c r="F568" s="1">
        <v>1.827</v>
      </c>
      <c r="G568" s="1">
        <f t="shared" si="40"/>
        <v>-0.0286628963763768</v>
      </c>
      <c r="X568" s="4">
        <f t="shared" si="41"/>
        <v>0.046426439588689</v>
      </c>
      <c r="Y568" s="4">
        <f t="shared" si="42"/>
        <v>-0.0277475572232646</v>
      </c>
      <c r="Z568" s="4">
        <f t="shared" si="44"/>
        <v>-0.0441986016949153</v>
      </c>
      <c r="AA568" s="4">
        <f t="shared" si="43"/>
        <v>-0.00314317704688594</v>
      </c>
    </row>
    <row r="569" s="4" customFormat="1" ht="15" customHeight="1" spans="1:27">
      <c r="A569" s="6" t="s">
        <v>134</v>
      </c>
      <c r="B569" s="1">
        <v>64</v>
      </c>
      <c r="C569" s="1">
        <v>1.296</v>
      </c>
      <c r="D569" s="1">
        <v>12.844</v>
      </c>
      <c r="E569" s="1">
        <v>0.3573</v>
      </c>
      <c r="F569" s="1">
        <v>1.575</v>
      </c>
      <c r="G569" s="1">
        <f t="shared" si="40"/>
        <v>0.124539710640211</v>
      </c>
      <c r="X569" s="4">
        <f t="shared" si="41"/>
        <v>0.123013232647815</v>
      </c>
      <c r="Y569" s="4">
        <f t="shared" si="42"/>
        <v>0.0352411857410882</v>
      </c>
      <c r="Z569" s="4">
        <f t="shared" si="44"/>
        <v>-0.0409936440677966</v>
      </c>
      <c r="AA569" s="4">
        <f t="shared" si="43"/>
        <v>0.00727893631910427</v>
      </c>
    </row>
    <row r="570" s="4" customFormat="1" ht="15" customHeight="1" spans="1:27">
      <c r="A570" s="6" t="s">
        <v>134</v>
      </c>
      <c r="B570" s="1">
        <v>64</v>
      </c>
      <c r="C570" s="1">
        <v>1.2883</v>
      </c>
      <c r="D570" s="1">
        <v>12.91</v>
      </c>
      <c r="E570" s="1">
        <v>0.3636</v>
      </c>
      <c r="F570" s="1">
        <v>1.622</v>
      </c>
      <c r="G570" s="1">
        <f t="shared" si="40"/>
        <v>0.119612180059496</v>
      </c>
      <c r="X570" s="4">
        <f t="shared" si="41"/>
        <v>0.117121940874036</v>
      </c>
      <c r="Y570" s="4">
        <f t="shared" si="42"/>
        <v>0.0334531181988743</v>
      </c>
      <c r="Z570" s="4">
        <f t="shared" si="44"/>
        <v>-0.0362980084745763</v>
      </c>
      <c r="AA570" s="4">
        <f t="shared" si="43"/>
        <v>0.00533512946116164</v>
      </c>
    </row>
    <row r="571" s="4" customFormat="1" ht="15" customHeight="1" spans="1:27">
      <c r="A571" s="6" t="s">
        <v>134</v>
      </c>
      <c r="B571" s="1">
        <v>64</v>
      </c>
      <c r="C571" s="1">
        <v>1.248</v>
      </c>
      <c r="D571" s="1">
        <v>13.056</v>
      </c>
      <c r="E571" s="1">
        <v>0.3873</v>
      </c>
      <c r="F571" s="1">
        <v>1.673</v>
      </c>
      <c r="G571" s="1">
        <f t="shared" si="40"/>
        <v>0.100378410631264</v>
      </c>
      <c r="X571" s="4">
        <f t="shared" si="41"/>
        <v>0.0862882969151672</v>
      </c>
      <c r="Y571" s="4">
        <f t="shared" si="42"/>
        <v>0.0294976960600375</v>
      </c>
      <c r="Z571" s="4">
        <f t="shared" si="44"/>
        <v>-0.0186334745762712</v>
      </c>
      <c r="AA571" s="4">
        <f t="shared" si="43"/>
        <v>0.00322589223233029</v>
      </c>
    </row>
    <row r="572" s="4" customFormat="1" ht="15" customHeight="1" spans="1:27">
      <c r="A572" s="6" t="s">
        <v>134</v>
      </c>
      <c r="B572" s="1">
        <v>64</v>
      </c>
      <c r="C572" s="1">
        <v>1.2074</v>
      </c>
      <c r="D572" s="1">
        <v>14.091</v>
      </c>
      <c r="E572" s="1">
        <v>0.3407</v>
      </c>
      <c r="F572" s="1">
        <v>1.705</v>
      </c>
      <c r="G572" s="1">
        <f t="shared" si="40"/>
        <v>0.00521884615297791</v>
      </c>
      <c r="X572" s="4">
        <f t="shared" si="41"/>
        <v>0.0552251221079692</v>
      </c>
      <c r="Y572" s="4">
        <f t="shared" si="42"/>
        <v>0.00145754596622891</v>
      </c>
      <c r="Z572" s="4">
        <f t="shared" si="44"/>
        <v>-0.0533662711864407</v>
      </c>
      <c r="AA572" s="4">
        <f t="shared" si="43"/>
        <v>0.00190244926522043</v>
      </c>
    </row>
    <row r="573" s="4" customFormat="1" ht="15" customHeight="1" spans="1:27">
      <c r="A573" s="6" t="s">
        <v>134</v>
      </c>
      <c r="B573" s="1">
        <v>64</v>
      </c>
      <c r="C573" s="1">
        <v>1.205</v>
      </c>
      <c r="D573" s="1">
        <v>12.505</v>
      </c>
      <c r="E573" s="1">
        <v>0.3469</v>
      </c>
      <c r="F573" s="1">
        <v>1.56</v>
      </c>
      <c r="G573" s="1">
        <f t="shared" si="40"/>
        <v>0.0569683568840261</v>
      </c>
      <c r="X573" s="4">
        <f t="shared" si="41"/>
        <v>0.0533888753213369</v>
      </c>
      <c r="Y573" s="4">
        <f t="shared" si="42"/>
        <v>0.0444253508442777</v>
      </c>
      <c r="Z573" s="4">
        <f t="shared" si="44"/>
        <v>-0.0487451694915254</v>
      </c>
      <c r="AA573" s="4">
        <f t="shared" si="43"/>
        <v>0.00789930020993701</v>
      </c>
    </row>
    <row r="574" s="4" customFormat="1" ht="15" customHeight="1" spans="1:27">
      <c r="A574" s="6" t="s">
        <v>134</v>
      </c>
      <c r="B574" s="1">
        <v>64</v>
      </c>
      <c r="C574" s="1">
        <v>1.2051</v>
      </c>
      <c r="D574" s="1">
        <v>12.764</v>
      </c>
      <c r="E574" s="1">
        <v>0.3703</v>
      </c>
      <c r="F574" s="1">
        <v>1.616</v>
      </c>
      <c r="G574" s="1">
        <f t="shared" si="40"/>
        <v>0.0651529636711835</v>
      </c>
      <c r="X574" s="4">
        <f t="shared" si="41"/>
        <v>0.0534653856041132</v>
      </c>
      <c r="Y574" s="4">
        <f t="shared" si="42"/>
        <v>0.0374085403377111</v>
      </c>
      <c r="Z574" s="4">
        <f t="shared" si="44"/>
        <v>-0.0313042372881356</v>
      </c>
      <c r="AA574" s="4">
        <f t="shared" si="43"/>
        <v>0.00558327501749474</v>
      </c>
    </row>
    <row r="575" s="4" customFormat="1" ht="15" customHeight="1" spans="1:27">
      <c r="A575" s="6" t="s">
        <v>134</v>
      </c>
      <c r="B575" s="1">
        <v>64</v>
      </c>
      <c r="C575" s="1">
        <v>1.2957</v>
      </c>
      <c r="D575" s="1">
        <v>13.213</v>
      </c>
      <c r="E575" s="1">
        <v>0.3583</v>
      </c>
      <c r="F575" s="1">
        <v>1.646</v>
      </c>
      <c r="G575" s="1">
        <f t="shared" si="40"/>
        <v>0.112122206614735</v>
      </c>
      <c r="X575" s="4">
        <f t="shared" si="41"/>
        <v>0.122783701799486</v>
      </c>
      <c r="Y575" s="4">
        <f t="shared" si="42"/>
        <v>0.0252442626641651</v>
      </c>
      <c r="Z575" s="4">
        <f t="shared" si="44"/>
        <v>-0.0402483050847458</v>
      </c>
      <c r="AA575" s="4">
        <f t="shared" si="43"/>
        <v>0.00434254723582925</v>
      </c>
    </row>
    <row r="576" s="4" customFormat="1" ht="15" customHeight="1" spans="1:27">
      <c r="A576" s="6" t="s">
        <v>134</v>
      </c>
      <c r="B576" s="1">
        <v>64</v>
      </c>
      <c r="C576" s="1">
        <v>1.2962</v>
      </c>
      <c r="D576" s="1">
        <v>12.127</v>
      </c>
      <c r="E576" s="1">
        <v>0.3737</v>
      </c>
      <c r="F576" s="1">
        <v>1.433</v>
      </c>
      <c r="G576" s="1">
        <f t="shared" si="40"/>
        <v>0.16221398426658</v>
      </c>
      <c r="X576" s="4">
        <f t="shared" si="41"/>
        <v>0.123166253213368</v>
      </c>
      <c r="Y576" s="4">
        <f t="shared" si="42"/>
        <v>0.0546661013133208</v>
      </c>
      <c r="Z576" s="4">
        <f t="shared" si="44"/>
        <v>-0.0287700847457627</v>
      </c>
      <c r="AA576" s="4">
        <f t="shared" si="43"/>
        <v>0.0131517144856543</v>
      </c>
    </row>
  </sheetData>
  <conditionalFormatting sqref="A2:A298 A307:A576">
    <cfRule type="expression" dxfId="0" priority="1">
      <formula>COUNTIF($A:$A,A2)&lt;&gt;9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opLeftCell="A40" workbookViewId="0">
      <selection activeCell="F2" sqref="F2:F65"/>
    </sheetView>
  </sheetViews>
  <sheetFormatPr defaultColWidth="9" defaultRowHeight="15" outlineLevelCol="6"/>
  <cols>
    <col min="4" max="4" width="8.375" customWidth="1"/>
    <col min="5" max="5" width="13.125" customWidth="1"/>
    <col min="7" max="7" width="9" style="1"/>
  </cols>
  <sheetData>
    <row r="1" ht="45" spans="1:7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135</v>
      </c>
    </row>
    <row r="2" spans="1:7">
      <c r="A2" s="1" t="s">
        <v>17</v>
      </c>
      <c r="B2" s="1">
        <v>0.9051</v>
      </c>
      <c r="C2" s="1">
        <v>18.3651</v>
      </c>
      <c r="D2" s="1">
        <v>0.3172</v>
      </c>
      <c r="E2" s="1">
        <v>2.2178</v>
      </c>
      <c r="F2" s="1">
        <v>-0.3492</v>
      </c>
    </row>
    <row r="3" spans="1:7">
      <c r="A3" s="1" t="s">
        <v>33</v>
      </c>
      <c r="B3" s="1">
        <v>0.9583</v>
      </c>
      <c r="C3" s="1">
        <v>17.2772</v>
      </c>
      <c r="D3" s="1">
        <v>0.3176</v>
      </c>
      <c r="E3" s="1">
        <v>2.1312</v>
      </c>
      <c r="F3" s="1">
        <v>-0.3066</v>
      </c>
      <c r="G3" s="1">
        <v>2.6232</v>
      </c>
    </row>
    <row r="4" spans="1:7">
      <c r="A4" s="1" t="s">
        <v>49</v>
      </c>
      <c r="B4" s="1">
        <v>1.1051</v>
      </c>
      <c r="C4" s="1">
        <v>16.9308</v>
      </c>
      <c r="D4" s="1">
        <v>0.3345</v>
      </c>
      <c r="E4" s="1">
        <v>2.1122</v>
      </c>
      <c r="F4" s="1">
        <v>-0.1715</v>
      </c>
      <c r="G4" s="1">
        <v>2.2368</v>
      </c>
    </row>
    <row r="5" spans="1:7">
      <c r="A5" s="1" t="s">
        <v>65</v>
      </c>
      <c r="B5" s="1">
        <v>1.1292</v>
      </c>
      <c r="C5" s="1">
        <v>15.3162</v>
      </c>
      <c r="D5" s="1">
        <v>0.3465</v>
      </c>
      <c r="E5" s="1">
        <v>1.8754</v>
      </c>
      <c r="F5" s="1">
        <v>-0.0905</v>
      </c>
      <c r="G5" s="1">
        <v>4.9712</v>
      </c>
    </row>
    <row r="6" spans="1:7">
      <c r="A6" s="1" t="s">
        <v>81</v>
      </c>
      <c r="B6" s="1">
        <v>1.2578</v>
      </c>
      <c r="C6" s="1">
        <v>15.2433</v>
      </c>
      <c r="D6" s="1">
        <v>0.4335</v>
      </c>
      <c r="E6" s="1">
        <v>1.8987</v>
      </c>
      <c r="F6" s="1">
        <v>-0.0737</v>
      </c>
      <c r="G6" s="1">
        <v>4.0464</v>
      </c>
    </row>
    <row r="7" spans="1:7">
      <c r="A7" s="1" t="s">
        <v>97</v>
      </c>
      <c r="B7" s="1">
        <v>1.2098</v>
      </c>
      <c r="C7" s="1">
        <v>14.3843</v>
      </c>
      <c r="D7" s="1">
        <v>0.4048</v>
      </c>
      <c r="E7" s="1">
        <v>1.8186</v>
      </c>
      <c r="F7" s="1">
        <v>-0.0422</v>
      </c>
      <c r="G7" s="1">
        <v>4.6824</v>
      </c>
    </row>
    <row r="8" spans="1:7">
      <c r="A8" s="1" t="s">
        <v>113</v>
      </c>
      <c r="B8" s="1">
        <v>1.2471</v>
      </c>
      <c r="C8" s="1">
        <v>15.774</v>
      </c>
      <c r="D8" s="1">
        <v>0.4268</v>
      </c>
      <c r="E8" s="1">
        <v>2.0348</v>
      </c>
      <c r="F8" s="1">
        <v>0.0405</v>
      </c>
      <c r="G8" s="1">
        <v>8.3364</v>
      </c>
    </row>
    <row r="9" spans="1:7">
      <c r="A9" s="1" t="s">
        <v>127</v>
      </c>
      <c r="B9" s="1">
        <v>1.1973</v>
      </c>
      <c r="C9" s="1">
        <v>15.0514</v>
      </c>
      <c r="D9" s="1">
        <v>0.4177</v>
      </c>
      <c r="E9" s="1">
        <v>1.826</v>
      </c>
      <c r="F9" s="1">
        <v>0.0239</v>
      </c>
      <c r="G9" s="1">
        <v>11.3592</v>
      </c>
    </row>
    <row r="10" spans="1:7">
      <c r="A10" s="1" t="s">
        <v>19</v>
      </c>
      <c r="B10" s="1">
        <v>0.8234</v>
      </c>
      <c r="C10" s="1">
        <v>20.2872</v>
      </c>
      <c r="D10" s="1">
        <v>0.3362</v>
      </c>
      <c r="E10" s="1">
        <v>2.5587</v>
      </c>
      <c r="F10" s="1">
        <v>-0.4718</v>
      </c>
    </row>
    <row r="11" spans="1:7">
      <c r="A11" s="1" t="s">
        <v>35</v>
      </c>
      <c r="B11" s="1">
        <v>1.0995</v>
      </c>
      <c r="C11" s="1">
        <v>15.0988</v>
      </c>
      <c r="D11" s="1">
        <v>0.3641</v>
      </c>
      <c r="E11" s="1">
        <v>1.9076</v>
      </c>
      <c r="F11" s="1">
        <v>-0.0956</v>
      </c>
      <c r="G11" s="1">
        <v>4.0016</v>
      </c>
    </row>
    <row r="12" spans="1:7">
      <c r="A12" s="1" t="s">
        <v>51</v>
      </c>
      <c r="B12" s="1">
        <v>1.1132</v>
      </c>
      <c r="C12" s="1">
        <v>15.0352</v>
      </c>
      <c r="D12" s="1">
        <v>0.3572</v>
      </c>
      <c r="E12" s="1">
        <v>1.9158</v>
      </c>
      <c r="F12" s="1">
        <v>-0.0889</v>
      </c>
      <c r="G12" s="1">
        <v>2.2808</v>
      </c>
    </row>
    <row r="13" spans="1:7">
      <c r="A13" s="1" t="s">
        <v>67</v>
      </c>
      <c r="B13" s="1">
        <v>1.1499</v>
      </c>
      <c r="C13" s="1">
        <v>14.459</v>
      </c>
      <c r="D13" s="1">
        <v>0.3804</v>
      </c>
      <c r="E13" s="1">
        <v>1.7962</v>
      </c>
      <c r="F13" s="1">
        <v>-0.023</v>
      </c>
      <c r="G13" s="1">
        <v>3.4464</v>
      </c>
    </row>
    <row r="14" spans="1:7">
      <c r="A14" s="1" t="s">
        <v>83</v>
      </c>
      <c r="B14" s="1">
        <v>1.2229</v>
      </c>
      <c r="C14" s="1">
        <v>14.5954</v>
      </c>
      <c r="D14" s="1">
        <v>0.4477</v>
      </c>
      <c r="E14" s="1">
        <v>1.8213</v>
      </c>
      <c r="F14" s="1">
        <v>-0.0783</v>
      </c>
      <c r="G14" s="1">
        <v>4.3792</v>
      </c>
    </row>
    <row r="15" spans="1:7">
      <c r="A15" s="1" t="s">
        <v>99</v>
      </c>
      <c r="B15" s="1">
        <v>1.2151</v>
      </c>
      <c r="C15" s="1">
        <v>14.3737</v>
      </c>
      <c r="D15" s="1">
        <v>0.4366</v>
      </c>
      <c r="E15" s="1">
        <v>1.7991</v>
      </c>
      <c r="F15" s="1">
        <v>-0.0711</v>
      </c>
      <c r="G15" s="1">
        <v>3.2952</v>
      </c>
    </row>
    <row r="16" spans="1:7">
      <c r="A16" s="1" t="s">
        <v>115</v>
      </c>
      <c r="B16" s="1">
        <v>1.2039</v>
      </c>
      <c r="C16" s="1">
        <v>13.4999</v>
      </c>
      <c r="D16" s="1">
        <v>0.3855</v>
      </c>
      <c r="E16" s="1">
        <v>1.7269</v>
      </c>
      <c r="F16" s="1">
        <v>0.051</v>
      </c>
      <c r="G16" s="1">
        <v>6.606</v>
      </c>
    </row>
    <row r="17" spans="1:7">
      <c r="A17" s="1" t="s">
        <v>128</v>
      </c>
      <c r="B17" s="1">
        <v>1.2656</v>
      </c>
      <c r="C17" s="1">
        <v>13.2753</v>
      </c>
      <c r="D17" s="1">
        <v>0.4458</v>
      </c>
      <c r="E17" s="1">
        <v>1.6293</v>
      </c>
      <c r="F17" s="1">
        <v>0.1533</v>
      </c>
      <c r="G17" s="1">
        <v>12.6336</v>
      </c>
    </row>
    <row r="18" spans="1:7">
      <c r="A18" s="1" t="s">
        <v>21</v>
      </c>
      <c r="B18" s="1">
        <v>0.8557</v>
      </c>
      <c r="C18" s="1">
        <v>19.9962</v>
      </c>
      <c r="D18" s="1">
        <v>0.3232</v>
      </c>
      <c r="E18" s="1">
        <v>2.49</v>
      </c>
      <c r="F18" s="1">
        <v>-0.4694</v>
      </c>
    </row>
    <row r="19" spans="1:7">
      <c r="A19" s="1" t="s">
        <v>37</v>
      </c>
      <c r="B19" s="1">
        <v>0.9905</v>
      </c>
      <c r="C19" s="1">
        <v>17.7546</v>
      </c>
      <c r="D19" s="1">
        <v>0.2969</v>
      </c>
      <c r="E19" s="1">
        <v>2.2486</v>
      </c>
      <c r="F19" s="1">
        <v>-0.3151</v>
      </c>
      <c r="G19" s="1">
        <v>3.2808</v>
      </c>
    </row>
    <row r="20" spans="1:7">
      <c r="A20" s="1" t="s">
        <v>53</v>
      </c>
      <c r="B20" s="1">
        <v>0.9742</v>
      </c>
      <c r="C20" s="1">
        <v>17.8871</v>
      </c>
      <c r="D20" s="1">
        <v>0.3111</v>
      </c>
      <c r="E20" s="1">
        <v>2.2807</v>
      </c>
      <c r="F20" s="1">
        <v>-0.3219</v>
      </c>
      <c r="G20" s="1">
        <v>2.0208</v>
      </c>
    </row>
    <row r="21" spans="1:7">
      <c r="A21" s="1" t="s">
        <v>69</v>
      </c>
      <c r="B21" s="1">
        <v>1.1217</v>
      </c>
      <c r="C21" s="1">
        <v>18.1622</v>
      </c>
      <c r="D21" s="1">
        <v>0.3626</v>
      </c>
      <c r="E21" s="1">
        <v>2.1932</v>
      </c>
      <c r="F21" s="1">
        <v>-0.1745</v>
      </c>
      <c r="G21" s="1">
        <v>2.9472</v>
      </c>
    </row>
    <row r="22" spans="1:7">
      <c r="A22" s="1" t="s">
        <v>85</v>
      </c>
      <c r="B22" s="1">
        <v>1.1298</v>
      </c>
      <c r="C22" s="1">
        <v>18.2383</v>
      </c>
      <c r="D22" s="1">
        <v>0.3632</v>
      </c>
      <c r="E22" s="1">
        <v>2.291</v>
      </c>
      <c r="F22" s="1">
        <v>-0.174</v>
      </c>
      <c r="G22" s="1">
        <v>3.8272</v>
      </c>
    </row>
    <row r="23" spans="1:7">
      <c r="A23" s="1" t="s">
        <v>101</v>
      </c>
      <c r="B23" s="1">
        <v>1.1394</v>
      </c>
      <c r="C23" s="1">
        <v>15.7691</v>
      </c>
      <c r="D23" s="1">
        <v>0.3541</v>
      </c>
      <c r="E23" s="1">
        <v>1.9637</v>
      </c>
      <c r="F23" s="1">
        <v>-0.093</v>
      </c>
      <c r="G23" s="1">
        <v>2.8596</v>
      </c>
    </row>
    <row r="24" spans="1:7">
      <c r="A24" s="1" t="s">
        <v>117</v>
      </c>
      <c r="B24" s="1">
        <v>1.2759</v>
      </c>
      <c r="C24" s="1">
        <v>16.0556</v>
      </c>
      <c r="D24" s="1">
        <v>0.429</v>
      </c>
      <c r="E24" s="1">
        <v>2.0118</v>
      </c>
      <c r="F24" s="1">
        <v>0.0576</v>
      </c>
      <c r="G24" s="1">
        <v>7.8084</v>
      </c>
    </row>
    <row r="25" spans="1:7">
      <c r="A25" s="1" t="s">
        <v>129</v>
      </c>
      <c r="B25" s="1">
        <v>1.177</v>
      </c>
      <c r="C25" s="1">
        <v>16.8451</v>
      </c>
      <c r="D25" s="1">
        <v>0.3533</v>
      </c>
      <c r="E25" s="1">
        <v>2.1431</v>
      </c>
      <c r="F25" s="1">
        <v>0.1013</v>
      </c>
      <c r="G25" s="1">
        <v>12.2472</v>
      </c>
    </row>
    <row r="26" spans="1:7">
      <c r="A26" s="1" t="s">
        <v>23</v>
      </c>
      <c r="B26" s="1">
        <v>0.9463</v>
      </c>
      <c r="C26" s="1">
        <v>16.6462</v>
      </c>
      <c r="D26" s="1">
        <v>0.3242</v>
      </c>
      <c r="E26" s="1">
        <v>2.0984</v>
      </c>
      <c r="F26" s="1">
        <v>-0.2924</v>
      </c>
    </row>
    <row r="27" spans="1:7">
      <c r="A27" s="1" t="s">
        <v>39</v>
      </c>
      <c r="B27" s="1">
        <v>1.0638</v>
      </c>
      <c r="C27" s="1">
        <v>15.2669</v>
      </c>
      <c r="D27" s="1">
        <v>0.3257</v>
      </c>
      <c r="E27" s="1">
        <v>1.8671</v>
      </c>
      <c r="F27" s="1">
        <v>-0.1544</v>
      </c>
      <c r="G27" s="1">
        <v>2.324</v>
      </c>
    </row>
    <row r="28" spans="1:7">
      <c r="A28" s="1" t="s">
        <v>55</v>
      </c>
      <c r="B28" s="1">
        <v>1.1217</v>
      </c>
      <c r="C28" s="1">
        <v>14.193</v>
      </c>
      <c r="D28" s="1">
        <v>0.3369</v>
      </c>
      <c r="E28" s="1">
        <v>1.7817</v>
      </c>
      <c r="F28" s="1">
        <v>-0.0691</v>
      </c>
      <c r="G28" s="1">
        <v>2.1624</v>
      </c>
    </row>
    <row r="29" spans="1:7">
      <c r="A29" s="1" t="s">
        <v>71</v>
      </c>
      <c r="B29" s="1">
        <v>1.2428</v>
      </c>
      <c r="C29" s="1">
        <v>14.2469</v>
      </c>
      <c r="D29" s="1">
        <v>0.3921</v>
      </c>
      <c r="E29" s="1">
        <v>2.3209</v>
      </c>
      <c r="F29" s="1">
        <v>-0.0409</v>
      </c>
      <c r="G29" s="1">
        <v>2.8008</v>
      </c>
    </row>
    <row r="30" spans="1:7">
      <c r="A30" s="1" t="s">
        <v>87</v>
      </c>
      <c r="B30" s="1">
        <v>1.1863</v>
      </c>
      <c r="C30" s="1">
        <v>12.9314</v>
      </c>
      <c r="D30" s="1">
        <v>0.3767</v>
      </c>
      <c r="E30" s="1">
        <v>1.6888</v>
      </c>
      <c r="F30" s="1">
        <v>-0.048</v>
      </c>
      <c r="G30" s="1">
        <v>3.612</v>
      </c>
    </row>
    <row r="31" spans="1:7">
      <c r="A31" s="1" t="s">
        <v>103</v>
      </c>
      <c r="B31" s="1">
        <v>1.259</v>
      </c>
      <c r="C31" s="1">
        <v>13.5819</v>
      </c>
      <c r="D31" s="1">
        <v>0.396</v>
      </c>
      <c r="E31" s="1">
        <v>1.6988</v>
      </c>
      <c r="F31" s="1">
        <v>-0.1</v>
      </c>
      <c r="G31" s="1">
        <v>3.234</v>
      </c>
    </row>
    <row r="32" spans="1:7">
      <c r="A32" s="1" t="s">
        <v>119</v>
      </c>
      <c r="B32" s="1">
        <v>1.286</v>
      </c>
      <c r="C32" s="1">
        <v>12.9518</v>
      </c>
      <c r="D32" s="1">
        <v>0.4528</v>
      </c>
      <c r="E32" s="1">
        <v>1.6189</v>
      </c>
      <c r="F32" s="1">
        <v>0.1833</v>
      </c>
      <c r="G32" s="1">
        <v>5.8968</v>
      </c>
    </row>
    <row r="33" spans="1:7">
      <c r="A33" s="1" t="s">
        <v>130</v>
      </c>
      <c r="B33" s="1">
        <v>1.2143</v>
      </c>
      <c r="C33" s="1">
        <v>14.086</v>
      </c>
      <c r="D33" s="1">
        <v>0.4451</v>
      </c>
      <c r="E33" s="1">
        <v>1.7632</v>
      </c>
      <c r="F33" s="1">
        <v>0.086</v>
      </c>
      <c r="G33" s="1">
        <v>10.476</v>
      </c>
    </row>
    <row r="34" spans="1:7">
      <c r="A34" s="1" t="s">
        <v>25</v>
      </c>
      <c r="B34" s="1">
        <v>1.1085</v>
      </c>
      <c r="C34" s="1">
        <v>18.3278</v>
      </c>
      <c r="D34" s="1">
        <v>0.3551</v>
      </c>
      <c r="E34" s="1">
        <v>2.244</v>
      </c>
      <c r="F34" s="1">
        <v>-0.1968</v>
      </c>
    </row>
    <row r="35" spans="1:7">
      <c r="A35" s="1" t="s">
        <v>41</v>
      </c>
      <c r="B35" s="1">
        <v>1.112</v>
      </c>
      <c r="C35" s="1">
        <v>15.3268</v>
      </c>
      <c r="D35" s="1">
        <v>0.3411</v>
      </c>
      <c r="E35" s="1">
        <v>1.9491</v>
      </c>
      <c r="F35" s="1">
        <v>-0.1111</v>
      </c>
      <c r="G35" s="1">
        <v>2.196</v>
      </c>
    </row>
    <row r="36" spans="1:7">
      <c r="A36" s="1" t="s">
        <v>57</v>
      </c>
      <c r="B36" s="1">
        <v>1.1282</v>
      </c>
      <c r="C36" s="1">
        <v>15.9188</v>
      </c>
      <c r="D36" s="1">
        <v>0.3163</v>
      </c>
      <c r="E36" s="1">
        <v>2.0114</v>
      </c>
      <c r="F36" s="1">
        <v>-0.1357</v>
      </c>
      <c r="G36" s="1">
        <v>2.048</v>
      </c>
    </row>
    <row r="37" spans="1:7">
      <c r="A37" s="1" t="s">
        <v>73</v>
      </c>
      <c r="B37" s="1">
        <v>1.2171</v>
      </c>
      <c r="C37" s="1">
        <v>16.1672</v>
      </c>
      <c r="D37" s="1">
        <v>0.3586</v>
      </c>
      <c r="E37" s="1">
        <v>2.0298</v>
      </c>
      <c r="F37" s="1">
        <v>-0.0437</v>
      </c>
      <c r="G37" s="1">
        <v>4.38</v>
      </c>
    </row>
    <row r="38" spans="1:7">
      <c r="A38" s="1" t="s">
        <v>89</v>
      </c>
      <c r="B38" s="1">
        <v>1.2197</v>
      </c>
      <c r="C38" s="1">
        <v>15.0452</v>
      </c>
      <c r="D38" s="1">
        <v>0.3979</v>
      </c>
      <c r="E38" s="1">
        <v>1.8882</v>
      </c>
      <c r="F38" s="1">
        <v>-0.0238</v>
      </c>
      <c r="G38" s="1">
        <v>2.6168</v>
      </c>
    </row>
    <row r="39" spans="1:7">
      <c r="A39" s="1" t="s">
        <v>105</v>
      </c>
      <c r="B39" s="1">
        <v>1.242</v>
      </c>
      <c r="C39" s="1">
        <v>14.5779</v>
      </c>
      <c r="D39" s="1">
        <v>0.399</v>
      </c>
      <c r="E39" s="1">
        <v>1.8176</v>
      </c>
      <c r="F39" s="1">
        <v>-0.0573</v>
      </c>
      <c r="G39" s="1">
        <v>2.7408</v>
      </c>
    </row>
    <row r="40" spans="1:7">
      <c r="A40" s="1" t="s">
        <v>121</v>
      </c>
      <c r="B40" s="1">
        <v>1.2646</v>
      </c>
      <c r="C40" s="1">
        <v>15.5861</v>
      </c>
      <c r="D40" s="1">
        <v>0.3965</v>
      </c>
      <c r="E40" s="1">
        <v>1.9176</v>
      </c>
      <c r="F40" s="1">
        <v>0.0413</v>
      </c>
      <c r="G40" s="1">
        <v>5.1504</v>
      </c>
    </row>
    <row r="41" spans="1:7">
      <c r="A41" s="1" t="s">
        <v>131</v>
      </c>
      <c r="B41" s="1">
        <v>1.3421</v>
      </c>
      <c r="C41" s="1">
        <v>13.6162</v>
      </c>
      <c r="D41" s="1">
        <v>0.4415</v>
      </c>
      <c r="E41" s="1">
        <v>1.7061</v>
      </c>
      <c r="F41" s="1">
        <v>0.1962</v>
      </c>
      <c r="G41" s="1">
        <v>11.7504</v>
      </c>
    </row>
    <row r="42" spans="1:7">
      <c r="A42" s="1" t="s">
        <v>27</v>
      </c>
      <c r="B42" s="1">
        <v>0.9689</v>
      </c>
      <c r="C42" s="1">
        <v>18.6019</v>
      </c>
      <c r="D42" s="1">
        <v>0.3273</v>
      </c>
      <c r="E42" s="1">
        <v>2.3056</v>
      </c>
      <c r="F42" s="1">
        <v>-0.3342</v>
      </c>
    </row>
    <row r="43" spans="1:7">
      <c r="A43" s="1" t="s">
        <v>43</v>
      </c>
      <c r="B43" s="1">
        <v>0.9621</v>
      </c>
      <c r="C43" s="1">
        <v>18.4664</v>
      </c>
      <c r="D43" s="1">
        <v>0.3044</v>
      </c>
      <c r="E43" s="1">
        <v>2.3628</v>
      </c>
      <c r="F43" s="1">
        <v>-0.3553</v>
      </c>
      <c r="G43" s="1">
        <v>2.2928</v>
      </c>
    </row>
    <row r="44" spans="1:7">
      <c r="A44" s="1" t="s">
        <v>59</v>
      </c>
      <c r="B44" s="1">
        <v>1.1626</v>
      </c>
      <c r="C44" s="1">
        <v>17.8647</v>
      </c>
      <c r="D44" s="1">
        <v>0.3426</v>
      </c>
      <c r="E44" s="1">
        <v>2.1951</v>
      </c>
      <c r="F44" s="1">
        <v>-0.1502</v>
      </c>
      <c r="G44" s="1">
        <v>3.6688</v>
      </c>
    </row>
    <row r="45" spans="1:7">
      <c r="A45" s="1" t="s">
        <v>75</v>
      </c>
      <c r="B45" s="1">
        <v>1.1621</v>
      </c>
      <c r="C45" s="1">
        <v>17.0947</v>
      </c>
      <c r="D45" s="1">
        <v>0.3566</v>
      </c>
      <c r="E45" s="1">
        <v>2.0494</v>
      </c>
      <c r="F45" s="1">
        <v>-0.1132</v>
      </c>
      <c r="G45" s="1">
        <v>3.32</v>
      </c>
    </row>
    <row r="46" spans="1:7">
      <c r="A46" s="1" t="s">
        <v>91</v>
      </c>
      <c r="B46" s="1">
        <v>1.1413</v>
      </c>
      <c r="C46" s="1">
        <v>17.3929</v>
      </c>
      <c r="D46" s="1">
        <v>0.3642</v>
      </c>
      <c r="E46" s="1">
        <v>2.1566</v>
      </c>
      <c r="F46" s="1">
        <v>-0.1359</v>
      </c>
      <c r="G46" s="1">
        <v>4.5848</v>
      </c>
    </row>
    <row r="47" spans="1:7">
      <c r="A47" s="1" t="s">
        <v>107</v>
      </c>
      <c r="B47" s="1">
        <v>1.1801</v>
      </c>
      <c r="C47" s="1">
        <v>14.1714</v>
      </c>
      <c r="D47" s="1">
        <v>0.4139</v>
      </c>
      <c r="E47" s="1">
        <v>1.8</v>
      </c>
      <c r="F47" s="1">
        <v>0.0328</v>
      </c>
      <c r="G47" s="1">
        <v>6.516</v>
      </c>
    </row>
    <row r="48" spans="1:7">
      <c r="A48" s="1" t="s">
        <v>123</v>
      </c>
      <c r="B48" s="1">
        <v>1.2156</v>
      </c>
      <c r="C48" s="1">
        <v>16.083</v>
      </c>
      <c r="D48" s="1">
        <v>0.432</v>
      </c>
      <c r="E48" s="1">
        <v>2.0372</v>
      </c>
      <c r="F48" s="1">
        <v>0.0119</v>
      </c>
      <c r="G48" s="1">
        <v>8.9076</v>
      </c>
    </row>
    <row r="49" spans="1:7">
      <c r="A49" s="1" t="s">
        <v>132</v>
      </c>
      <c r="B49" s="1">
        <v>1.1877</v>
      </c>
      <c r="C49" s="1">
        <v>15.4067</v>
      </c>
      <c r="D49" s="1">
        <v>0.3805</v>
      </c>
      <c r="E49" s="1">
        <v>1.9268</v>
      </c>
      <c r="F49" s="1">
        <v>0.025</v>
      </c>
      <c r="G49" s="1">
        <v>11.412</v>
      </c>
    </row>
    <row r="50" spans="1:7">
      <c r="A50" s="1" t="s">
        <v>29</v>
      </c>
      <c r="B50" s="1">
        <v>0.9734</v>
      </c>
      <c r="C50" s="1">
        <v>20.1008</v>
      </c>
      <c r="D50" s="1">
        <v>0.3452</v>
      </c>
      <c r="E50" s="1">
        <v>2.4888</v>
      </c>
      <c r="F50" s="1">
        <v>-0.3657</v>
      </c>
    </row>
    <row r="51" spans="1:7">
      <c r="A51" s="1" t="s">
        <v>45</v>
      </c>
      <c r="B51" s="1">
        <v>1.139</v>
      </c>
      <c r="C51" s="1">
        <v>18.408</v>
      </c>
      <c r="D51" s="1">
        <v>0.3145</v>
      </c>
      <c r="E51" s="1">
        <v>2.3201</v>
      </c>
      <c r="F51" s="1">
        <v>-0.209</v>
      </c>
      <c r="G51" s="1">
        <v>2.2136</v>
      </c>
    </row>
    <row r="52" spans="1:7">
      <c r="A52" s="1" t="s">
        <v>61</v>
      </c>
      <c r="B52" s="1">
        <v>1.2175</v>
      </c>
      <c r="C52" s="1">
        <v>17.5768</v>
      </c>
      <c r="D52" s="1">
        <v>0.352</v>
      </c>
      <c r="E52" s="1">
        <v>2.2263</v>
      </c>
      <c r="F52" s="1">
        <v>-0.0946</v>
      </c>
      <c r="G52" s="1">
        <v>2.0504</v>
      </c>
    </row>
    <row r="53" spans="1:7">
      <c r="A53" s="1" t="s">
        <v>77</v>
      </c>
      <c r="B53" s="1">
        <v>1.2766</v>
      </c>
      <c r="C53" s="1">
        <v>17.1377</v>
      </c>
      <c r="D53" s="1">
        <v>0.3716</v>
      </c>
      <c r="E53" s="1">
        <v>2.1724</v>
      </c>
      <c r="F53" s="1">
        <v>-0.0206</v>
      </c>
      <c r="G53" s="1">
        <v>2.6632</v>
      </c>
    </row>
    <row r="54" spans="1:7">
      <c r="A54" s="1" t="s">
        <v>93</v>
      </c>
      <c r="B54" s="1">
        <v>1.2408</v>
      </c>
      <c r="C54" s="1">
        <v>16.3369</v>
      </c>
      <c r="D54" s="1">
        <v>0.3635</v>
      </c>
      <c r="E54" s="1">
        <v>2.0382</v>
      </c>
      <c r="F54" s="1">
        <v>-0.0269</v>
      </c>
      <c r="G54" s="1">
        <v>4.6376</v>
      </c>
    </row>
    <row r="55" spans="1:7">
      <c r="A55" s="1" t="s">
        <v>109</v>
      </c>
      <c r="B55" s="1">
        <v>1.2611</v>
      </c>
      <c r="C55" s="1">
        <v>14.9058</v>
      </c>
      <c r="D55" s="1">
        <v>0.4054</v>
      </c>
      <c r="E55" s="1">
        <v>1.8361</v>
      </c>
      <c r="F55" s="1">
        <v>0.067</v>
      </c>
      <c r="G55" s="1">
        <v>4.9116</v>
      </c>
    </row>
    <row r="56" spans="1:7">
      <c r="A56" s="1" t="s">
        <v>125</v>
      </c>
      <c r="B56" s="1">
        <v>1.3325</v>
      </c>
      <c r="C56" s="1">
        <v>16.7039</v>
      </c>
      <c r="D56" s="1">
        <v>0.4161</v>
      </c>
      <c r="E56" s="1">
        <v>2.1186</v>
      </c>
      <c r="F56" s="1">
        <v>0.0693</v>
      </c>
      <c r="G56" s="1">
        <v>9.7092</v>
      </c>
    </row>
    <row r="57" spans="1:7">
      <c r="A57" s="1" t="s">
        <v>133</v>
      </c>
      <c r="B57" s="1">
        <v>1.2427</v>
      </c>
      <c r="C57" s="1">
        <v>16.6644</v>
      </c>
      <c r="D57" s="1">
        <v>0.4065</v>
      </c>
      <c r="E57" s="1">
        <v>2.0933</v>
      </c>
      <c r="F57" s="1">
        <v>0.0045</v>
      </c>
      <c r="G57" s="1">
        <v>13.488</v>
      </c>
    </row>
    <row r="58" spans="1:7">
      <c r="A58" s="1" t="s">
        <v>31</v>
      </c>
      <c r="B58" s="1">
        <v>0.8508</v>
      </c>
      <c r="C58" s="1">
        <v>18.6031</v>
      </c>
      <c r="D58" s="1">
        <v>0.3093</v>
      </c>
      <c r="E58" s="1">
        <v>2.2497</v>
      </c>
      <c r="F58" s="1">
        <v>-0.4358</v>
      </c>
    </row>
    <row r="59" spans="1:7">
      <c r="A59" s="1" t="s">
        <v>47</v>
      </c>
      <c r="B59" s="1">
        <v>0.9293</v>
      </c>
      <c r="C59" s="1">
        <v>16.3111</v>
      </c>
      <c r="D59" s="1">
        <v>0.3021</v>
      </c>
      <c r="E59" s="1">
        <v>2.0628</v>
      </c>
      <c r="F59" s="1">
        <v>-0.3113</v>
      </c>
      <c r="G59" s="1">
        <v>2.7416</v>
      </c>
    </row>
    <row r="60" spans="1:7">
      <c r="A60" s="1" t="s">
        <v>63</v>
      </c>
      <c r="B60" s="1">
        <v>1.0505</v>
      </c>
      <c r="C60" s="1">
        <v>15.5021</v>
      </c>
      <c r="D60" s="1">
        <v>0.3355</v>
      </c>
      <c r="E60" s="1">
        <v>1.8928</v>
      </c>
      <c r="F60" s="1">
        <v>-0.1647</v>
      </c>
      <c r="G60" s="1">
        <v>2.5776</v>
      </c>
    </row>
    <row r="61" spans="1:7">
      <c r="A61" s="1" t="s">
        <v>79</v>
      </c>
      <c r="B61" s="1">
        <v>1.1546</v>
      </c>
      <c r="C61" s="1">
        <v>15.4108</v>
      </c>
      <c r="D61" s="1">
        <v>0.3776</v>
      </c>
      <c r="E61" s="1">
        <v>1.8641</v>
      </c>
      <c r="F61" s="1">
        <v>-0.05</v>
      </c>
      <c r="G61" s="1">
        <v>2.6184</v>
      </c>
    </row>
    <row r="62" spans="1:7">
      <c r="A62" s="1" t="s">
        <v>95</v>
      </c>
      <c r="B62" s="1">
        <v>1.1937</v>
      </c>
      <c r="C62" s="1">
        <v>13.2359</v>
      </c>
      <c r="D62" s="1">
        <v>0.3793</v>
      </c>
      <c r="E62" s="1">
        <v>1.6873</v>
      </c>
      <c r="F62" s="1">
        <v>-0.0474</v>
      </c>
      <c r="G62" s="1">
        <v>2.096</v>
      </c>
    </row>
    <row r="63" spans="1:7">
      <c r="A63" s="1" t="s">
        <v>111</v>
      </c>
      <c r="B63" s="1">
        <v>1.2072</v>
      </c>
      <c r="C63" s="1">
        <v>15.024</v>
      </c>
      <c r="D63" s="1">
        <v>0.4221</v>
      </c>
      <c r="E63" s="1">
        <v>1.8772</v>
      </c>
      <c r="F63" s="1">
        <v>-0.0333</v>
      </c>
      <c r="G63" s="1">
        <v>3.1776</v>
      </c>
    </row>
    <row r="64" spans="1:7">
      <c r="A64" s="1" t="s">
        <v>126</v>
      </c>
      <c r="B64" s="1">
        <v>1.2001</v>
      </c>
      <c r="C64" s="1">
        <v>15.2417</v>
      </c>
      <c r="D64" s="1">
        <v>0.3838</v>
      </c>
      <c r="E64" s="1">
        <v>1.837</v>
      </c>
      <c r="F64" s="1">
        <v>-0.0049</v>
      </c>
      <c r="G64" s="1">
        <v>6.9024</v>
      </c>
    </row>
    <row r="65" spans="1:7">
      <c r="A65" s="1" t="s">
        <v>134</v>
      </c>
      <c r="B65" s="1">
        <v>1.2486</v>
      </c>
      <c r="C65" s="1">
        <v>13.1866</v>
      </c>
      <c r="D65" s="1">
        <v>0.3612</v>
      </c>
      <c r="E65" s="1">
        <v>1.6286</v>
      </c>
      <c r="F65" s="1">
        <v>0.0797</v>
      </c>
      <c r="G65" s="1">
        <v>14.5464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all</vt:lpstr>
      <vt:lpstr>AVERAGE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2026-07-20T09:15:35Z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0E2B908316AF45D9A874C32CE841F605_13</vt:lpwstr>
  </property>
  <property fmtid="{D5CDD505-2E9C-101B-9397-08002B2CF9AE}" pid="4" name="CalculationRule">
    <vt:i4>0</vt:i4>
  </property>
</Properties>
</file>